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ruxzufarov/Desktop/work/Учтепа сити/"/>
    </mc:Choice>
  </mc:AlternateContent>
  <xr:revisionPtr revIDLastSave="0" documentId="13_ncr:1_{342F8674-4BAC-2347-92DB-87154DF647BD}" xr6:coauthVersionLast="47" xr6:coauthVersionMax="47" xr10:uidLastSave="{00000000-0000-0000-0000-000000000000}"/>
  <bookViews>
    <workbookView xWindow="74140" yWindow="900" windowWidth="36940" windowHeight="31660" activeTab="8" xr2:uid="{F40D8796-BBF4-A746-8E5A-3C1FAEBB8029}"/>
  </bookViews>
  <sheets>
    <sheet name="Свод" sheetId="4" r:id="rId1"/>
    <sheet name="Нотурар" sheetId="3" r:id="rId2"/>
    <sheet name="Турар" sheetId="2" r:id="rId3"/>
    <sheet name="Турар Лотлар " sheetId="5" r:id="rId4"/>
    <sheet name="лот бўйича хк" sheetId="7" r:id="rId5"/>
    <sheet name="Нотурар Лотлар" sheetId="6" r:id="rId6"/>
    <sheet name="Турар Вьетнам карта" sheetId="9" r:id="rId7"/>
    <sheet name="Нотурар Лотлар Вьет" sheetId="11" r:id="rId8"/>
    <sheet name="лот бўйича хк ВЬет" sheetId="10" r:id="rId9"/>
  </sheets>
  <definedNames>
    <definedName name="_xlnm._FilterDatabase" localSheetId="1" hidden="1">Нотурар!$A$2:$M$20</definedName>
    <definedName name="_xlnm._FilterDatabase" localSheetId="5" hidden="1">'Нотурар Лотлар'!$A$2:$N$20</definedName>
    <definedName name="_xlnm._FilterDatabase" localSheetId="7" hidden="1">'Нотурар Лотлар Вьет'!$A$3:$N$3</definedName>
    <definedName name="_xlnm._FilterDatabase" localSheetId="6" hidden="1">'Турар Вьетнам карта'!$A$3:$Q$3</definedName>
    <definedName name="_xlnm._FilterDatabase" localSheetId="3" hidden="1">'Турар Лотлар '!$A$1:$S$14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10" l="1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22" i="10"/>
  <c r="F23" i="10"/>
  <c r="F24" i="10"/>
  <c r="F25" i="10"/>
  <c r="F26" i="10"/>
  <c r="F36" i="10" s="1"/>
  <c r="F27" i="10"/>
  <c r="F28" i="10"/>
  <c r="F29" i="10"/>
  <c r="F30" i="10"/>
  <c r="F31" i="10"/>
  <c r="F32" i="10"/>
  <c r="F33" i="10"/>
  <c r="F34" i="10"/>
  <c r="F35" i="10"/>
  <c r="F22" i="10"/>
  <c r="C36" i="10"/>
  <c r="E36" i="10"/>
  <c r="D23" i="10"/>
  <c r="D24" i="10"/>
  <c r="D25" i="10"/>
  <c r="D26" i="10"/>
  <c r="D27" i="10"/>
  <c r="D28" i="10"/>
  <c r="D29" i="10"/>
  <c r="D30" i="10"/>
  <c r="D31" i="10"/>
  <c r="D36" i="10"/>
  <c r="D33" i="10"/>
  <c r="D34" i="10"/>
  <c r="D35" i="10"/>
  <c r="D22" i="10"/>
  <c r="K5" i="10"/>
  <c r="B36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23" i="10"/>
  <c r="B22" i="10"/>
  <c r="I16" i="10"/>
  <c r="I14" i="10"/>
  <c r="I11" i="10"/>
  <c r="I10" i="10"/>
  <c r="I7" i="10"/>
  <c r="I6" i="10"/>
  <c r="I5" i="10"/>
  <c r="K28" i="11"/>
  <c r="L28" i="11"/>
  <c r="I28" i="11"/>
  <c r="K26" i="11"/>
  <c r="L26" i="11"/>
  <c r="I26" i="11"/>
  <c r="J19" i="11"/>
  <c r="K19" i="11"/>
  <c r="L19" i="11"/>
  <c r="M19" i="11"/>
  <c r="I19" i="11"/>
  <c r="J17" i="11"/>
  <c r="K17" i="11"/>
  <c r="L17" i="11"/>
  <c r="I17" i="11"/>
  <c r="K14" i="11"/>
  <c r="L14" i="11"/>
  <c r="I14" i="11"/>
  <c r="J8" i="11"/>
  <c r="K8" i="11"/>
  <c r="L8" i="11"/>
  <c r="M8" i="11"/>
  <c r="I8" i="11"/>
  <c r="J6" i="11"/>
  <c r="K6" i="11"/>
  <c r="L6" i="11"/>
  <c r="I6" i="11"/>
  <c r="J16" i="11"/>
  <c r="M16" i="11" s="1"/>
  <c r="J15" i="11"/>
  <c r="M15" i="11" s="1"/>
  <c r="M17" i="11" s="1"/>
  <c r="J43" i="11"/>
  <c r="J42" i="11"/>
  <c r="J41" i="11"/>
  <c r="J40" i="11"/>
  <c r="J39" i="11"/>
  <c r="J37" i="11"/>
  <c r="J36" i="11"/>
  <c r="J35" i="11"/>
  <c r="J34" i="11"/>
  <c r="J13" i="11"/>
  <c r="J12" i="11"/>
  <c r="J7" i="11"/>
  <c r="M7" i="11" s="1"/>
  <c r="M5" i="11"/>
  <c r="J5" i="11"/>
  <c r="J4" i="11"/>
  <c r="M4" i="11" s="1"/>
  <c r="M6" i="11" s="1"/>
  <c r="J25" i="11"/>
  <c r="M25" i="11" s="1"/>
  <c r="J11" i="11"/>
  <c r="M11" i="11" s="1"/>
  <c r="J10" i="11"/>
  <c r="M10" i="11" s="1"/>
  <c r="J9" i="11"/>
  <c r="M9" i="11" s="1"/>
  <c r="M14" i="11" s="1"/>
  <c r="J18" i="11"/>
  <c r="M18" i="11" s="1"/>
  <c r="J24" i="11"/>
  <c r="M24" i="11" s="1"/>
  <c r="J23" i="11"/>
  <c r="M23" i="11" s="1"/>
  <c r="J22" i="11"/>
  <c r="M22" i="11" s="1"/>
  <c r="J21" i="11"/>
  <c r="M21" i="11" s="1"/>
  <c r="J20" i="11"/>
  <c r="M20" i="11" s="1"/>
  <c r="M26" i="11" s="1"/>
  <c r="J27" i="11"/>
  <c r="M27" i="11" s="1"/>
  <c r="M28" i="11" s="1"/>
  <c r="B16" i="10"/>
  <c r="B15" i="10"/>
  <c r="D15" i="10" s="1"/>
  <c r="B14" i="10"/>
  <c r="B12" i="10"/>
  <c r="B11" i="10"/>
  <c r="B10" i="10"/>
  <c r="B5" i="10"/>
  <c r="B4" i="10"/>
  <c r="B3" i="10"/>
  <c r="L17" i="10"/>
  <c r="J17" i="10"/>
  <c r="M16" i="10"/>
  <c r="N16" i="10" s="1"/>
  <c r="K16" i="10"/>
  <c r="M15" i="10"/>
  <c r="I15" i="10"/>
  <c r="K15" i="10" s="1"/>
  <c r="N14" i="10"/>
  <c r="M14" i="10"/>
  <c r="K14" i="10"/>
  <c r="M13" i="10"/>
  <c r="I13" i="10"/>
  <c r="M12" i="10"/>
  <c r="N12" i="10" s="1"/>
  <c r="I12" i="10"/>
  <c r="K12" i="10" s="1"/>
  <c r="M11" i="10"/>
  <c r="K11" i="10"/>
  <c r="M10" i="10"/>
  <c r="K10" i="10"/>
  <c r="M9" i="10"/>
  <c r="N9" i="10" s="1"/>
  <c r="I9" i="10"/>
  <c r="K9" i="10" s="1"/>
  <c r="M8" i="10"/>
  <c r="K8" i="10"/>
  <c r="I8" i="10"/>
  <c r="M7" i="10"/>
  <c r="N7" i="10" s="1"/>
  <c r="K7" i="10"/>
  <c r="M6" i="10"/>
  <c r="N6" i="10" s="1"/>
  <c r="K6" i="10"/>
  <c r="M5" i="10"/>
  <c r="M4" i="10"/>
  <c r="K4" i="10"/>
  <c r="I4" i="10"/>
  <c r="M3" i="10"/>
  <c r="I3" i="10"/>
  <c r="K3" i="10" s="1"/>
  <c r="I163" i="9"/>
  <c r="J163" i="9"/>
  <c r="K163" i="9"/>
  <c r="L163" i="9"/>
  <c r="M163" i="9"/>
  <c r="N163" i="9"/>
  <c r="O163" i="9"/>
  <c r="P163" i="9"/>
  <c r="Q163" i="9"/>
  <c r="H163" i="9"/>
  <c r="I151" i="9"/>
  <c r="J151" i="9"/>
  <c r="K151" i="9"/>
  <c r="L151" i="9"/>
  <c r="M151" i="9"/>
  <c r="N151" i="9"/>
  <c r="O151" i="9"/>
  <c r="P151" i="9"/>
  <c r="Q151" i="9"/>
  <c r="H151" i="9"/>
  <c r="I143" i="9"/>
  <c r="J143" i="9"/>
  <c r="K143" i="9"/>
  <c r="L143" i="9"/>
  <c r="M143" i="9"/>
  <c r="N143" i="9"/>
  <c r="O143" i="9"/>
  <c r="P143" i="9"/>
  <c r="Q143" i="9"/>
  <c r="H143" i="9"/>
  <c r="Q102" i="9"/>
  <c r="I102" i="9"/>
  <c r="J102" i="9"/>
  <c r="K102" i="9"/>
  <c r="L102" i="9"/>
  <c r="M102" i="9"/>
  <c r="N102" i="9"/>
  <c r="O102" i="9"/>
  <c r="P102" i="9"/>
  <c r="H102" i="9"/>
  <c r="I64" i="9"/>
  <c r="J64" i="9"/>
  <c r="K64" i="9"/>
  <c r="L64" i="9"/>
  <c r="M64" i="9"/>
  <c r="N64" i="9"/>
  <c r="O64" i="9"/>
  <c r="P64" i="9"/>
  <c r="Q64" i="9"/>
  <c r="H64" i="9"/>
  <c r="I31" i="9"/>
  <c r="J31" i="9"/>
  <c r="K31" i="9"/>
  <c r="L31" i="9"/>
  <c r="M31" i="9"/>
  <c r="N31" i="9"/>
  <c r="O31" i="9"/>
  <c r="P31" i="9"/>
  <c r="Q31" i="9"/>
  <c r="H31" i="9"/>
  <c r="I25" i="9"/>
  <c r="J25" i="9"/>
  <c r="K25" i="9"/>
  <c r="L25" i="9"/>
  <c r="M25" i="9"/>
  <c r="N25" i="9"/>
  <c r="O25" i="9"/>
  <c r="P25" i="9"/>
  <c r="Q25" i="9"/>
  <c r="H25" i="9"/>
  <c r="I22" i="9"/>
  <c r="J22" i="9"/>
  <c r="K22" i="9"/>
  <c r="L22" i="9"/>
  <c r="M22" i="9"/>
  <c r="N22" i="9"/>
  <c r="O22" i="9"/>
  <c r="P22" i="9"/>
  <c r="Q22" i="9"/>
  <c r="H22" i="9"/>
  <c r="I8" i="9"/>
  <c r="J8" i="9"/>
  <c r="K8" i="9"/>
  <c r="L8" i="9"/>
  <c r="M8" i="9"/>
  <c r="N8" i="9"/>
  <c r="O8" i="9"/>
  <c r="P8" i="9"/>
  <c r="Q8" i="9"/>
  <c r="H8" i="9"/>
  <c r="E17" i="10"/>
  <c r="C17" i="10"/>
  <c r="F16" i="10"/>
  <c r="D16" i="10"/>
  <c r="F15" i="10"/>
  <c r="G15" i="10" s="1"/>
  <c r="F14" i="10"/>
  <c r="D14" i="10"/>
  <c r="F13" i="10"/>
  <c r="B13" i="10"/>
  <c r="F12" i="10"/>
  <c r="D12" i="10"/>
  <c r="F11" i="10"/>
  <c r="D11" i="10"/>
  <c r="F10" i="10"/>
  <c r="G10" i="10" s="1"/>
  <c r="D10" i="10"/>
  <c r="F9" i="10"/>
  <c r="D9" i="10"/>
  <c r="F8" i="10"/>
  <c r="G8" i="10" s="1"/>
  <c r="D8" i="10"/>
  <c r="F7" i="10"/>
  <c r="D7" i="10"/>
  <c r="F6" i="10"/>
  <c r="D6" i="10"/>
  <c r="F5" i="10"/>
  <c r="D5" i="10"/>
  <c r="F4" i="10"/>
  <c r="D4" i="10"/>
  <c r="F3" i="10"/>
  <c r="D3" i="10"/>
  <c r="O63" i="9"/>
  <c r="N63" i="9"/>
  <c r="J63" i="9"/>
  <c r="O162" i="9"/>
  <c r="N162" i="9"/>
  <c r="J162" i="9"/>
  <c r="O161" i="9"/>
  <c r="N161" i="9"/>
  <c r="J161" i="9"/>
  <c r="O160" i="9"/>
  <c r="N160" i="9"/>
  <c r="J160" i="9"/>
  <c r="O159" i="9"/>
  <c r="N159" i="9"/>
  <c r="J159" i="9"/>
  <c r="O158" i="9"/>
  <c r="N158" i="9"/>
  <c r="J158" i="9"/>
  <c r="O157" i="9"/>
  <c r="N157" i="9"/>
  <c r="J157" i="9"/>
  <c r="O156" i="9"/>
  <c r="N156" i="9"/>
  <c r="J156" i="9"/>
  <c r="O155" i="9"/>
  <c r="N155" i="9"/>
  <c r="J155" i="9"/>
  <c r="O154" i="9"/>
  <c r="N154" i="9"/>
  <c r="J154" i="9"/>
  <c r="O153" i="9"/>
  <c r="N153" i="9"/>
  <c r="J153" i="9"/>
  <c r="O152" i="9"/>
  <c r="N152" i="9"/>
  <c r="J152" i="9"/>
  <c r="O150" i="9"/>
  <c r="N150" i="9"/>
  <c r="J150" i="9"/>
  <c r="O149" i="9"/>
  <c r="N149" i="9"/>
  <c r="J149" i="9"/>
  <c r="O148" i="9"/>
  <c r="N148" i="9"/>
  <c r="J148" i="9"/>
  <c r="O147" i="9"/>
  <c r="N147" i="9"/>
  <c r="J147" i="9"/>
  <c r="O146" i="9"/>
  <c r="N146" i="9"/>
  <c r="J146" i="9"/>
  <c r="O145" i="9"/>
  <c r="N145" i="9"/>
  <c r="J145" i="9"/>
  <c r="O144" i="9"/>
  <c r="N144" i="9"/>
  <c r="J144" i="9"/>
  <c r="O141" i="9"/>
  <c r="N141" i="9"/>
  <c r="J141" i="9"/>
  <c r="O140" i="9"/>
  <c r="N140" i="9"/>
  <c r="J140" i="9"/>
  <c r="O139" i="9"/>
  <c r="N139" i="9"/>
  <c r="J139" i="9"/>
  <c r="O138" i="9"/>
  <c r="N138" i="9"/>
  <c r="J138" i="9"/>
  <c r="O137" i="9"/>
  <c r="N137" i="9"/>
  <c r="J137" i="9"/>
  <c r="O136" i="9"/>
  <c r="N136" i="9"/>
  <c r="J136" i="9"/>
  <c r="O135" i="9"/>
  <c r="N135" i="9"/>
  <c r="J135" i="9"/>
  <c r="O142" i="9"/>
  <c r="N142" i="9"/>
  <c r="J142" i="9"/>
  <c r="O62" i="9"/>
  <c r="N62" i="9"/>
  <c r="J62" i="9"/>
  <c r="O61" i="9"/>
  <c r="N61" i="9"/>
  <c r="J61" i="9"/>
  <c r="O60" i="9"/>
  <c r="N60" i="9"/>
  <c r="J60" i="9"/>
  <c r="O59" i="9"/>
  <c r="N59" i="9"/>
  <c r="J59" i="9"/>
  <c r="O58" i="9"/>
  <c r="N58" i="9"/>
  <c r="J58" i="9"/>
  <c r="O57" i="9"/>
  <c r="N57" i="9"/>
  <c r="J57" i="9"/>
  <c r="O56" i="9"/>
  <c r="N56" i="9"/>
  <c r="J56" i="9"/>
  <c r="O55" i="9"/>
  <c r="N55" i="9"/>
  <c r="J55" i="9"/>
  <c r="O54" i="9"/>
  <c r="N54" i="9"/>
  <c r="J54" i="9"/>
  <c r="O53" i="9"/>
  <c r="N53" i="9"/>
  <c r="J53" i="9"/>
  <c r="O52" i="9"/>
  <c r="N52" i="9"/>
  <c r="J52" i="9"/>
  <c r="O51" i="9"/>
  <c r="N51" i="9"/>
  <c r="J51" i="9"/>
  <c r="O50" i="9"/>
  <c r="N50" i="9"/>
  <c r="J50" i="9"/>
  <c r="O49" i="9"/>
  <c r="N49" i="9"/>
  <c r="J49" i="9"/>
  <c r="O48" i="9"/>
  <c r="N48" i="9"/>
  <c r="J48" i="9"/>
  <c r="O47" i="9"/>
  <c r="N47" i="9"/>
  <c r="J47" i="9"/>
  <c r="O46" i="9"/>
  <c r="N46" i="9"/>
  <c r="J46" i="9"/>
  <c r="O45" i="9"/>
  <c r="N45" i="9"/>
  <c r="J45" i="9"/>
  <c r="O44" i="9"/>
  <c r="N44" i="9"/>
  <c r="J44" i="9"/>
  <c r="O43" i="9"/>
  <c r="N43" i="9"/>
  <c r="J43" i="9"/>
  <c r="O134" i="9"/>
  <c r="N134" i="9"/>
  <c r="J134" i="9"/>
  <c r="O42" i="9"/>
  <c r="N42" i="9"/>
  <c r="J42" i="9"/>
  <c r="O133" i="9"/>
  <c r="N133" i="9"/>
  <c r="J133" i="9"/>
  <c r="O132" i="9"/>
  <c r="N132" i="9"/>
  <c r="J132" i="9"/>
  <c r="O131" i="9"/>
  <c r="N131" i="9"/>
  <c r="J131" i="9"/>
  <c r="O41" i="9"/>
  <c r="N41" i="9"/>
  <c r="J41" i="9"/>
  <c r="O40" i="9"/>
  <c r="N40" i="9"/>
  <c r="J40" i="9"/>
  <c r="O39" i="9"/>
  <c r="N39" i="9"/>
  <c r="J39" i="9"/>
  <c r="O38" i="9"/>
  <c r="N38" i="9"/>
  <c r="J38" i="9"/>
  <c r="O37" i="9"/>
  <c r="N37" i="9"/>
  <c r="J37" i="9"/>
  <c r="O36" i="9"/>
  <c r="N36" i="9"/>
  <c r="J36" i="9"/>
  <c r="O35" i="9"/>
  <c r="N35" i="9"/>
  <c r="J35" i="9"/>
  <c r="O34" i="9"/>
  <c r="N34" i="9"/>
  <c r="J34" i="9"/>
  <c r="O33" i="9"/>
  <c r="N33" i="9"/>
  <c r="J33" i="9"/>
  <c r="O30" i="9"/>
  <c r="N30" i="9"/>
  <c r="J30" i="9"/>
  <c r="O130" i="9"/>
  <c r="N130" i="9"/>
  <c r="J130" i="9"/>
  <c r="O29" i="9"/>
  <c r="N29" i="9"/>
  <c r="J29" i="9"/>
  <c r="O28" i="9"/>
  <c r="N28" i="9"/>
  <c r="J28" i="9"/>
  <c r="O27" i="9"/>
  <c r="N27" i="9"/>
  <c r="J27" i="9"/>
  <c r="O26" i="9"/>
  <c r="N26" i="9"/>
  <c r="J26" i="9"/>
  <c r="O98" i="9"/>
  <c r="N98" i="9"/>
  <c r="J98" i="9"/>
  <c r="O129" i="9"/>
  <c r="N129" i="9"/>
  <c r="J129" i="9"/>
  <c r="O97" i="9"/>
  <c r="N97" i="9"/>
  <c r="J97" i="9"/>
  <c r="O96" i="9"/>
  <c r="N96" i="9"/>
  <c r="J96" i="9"/>
  <c r="O128" i="9"/>
  <c r="N128" i="9"/>
  <c r="O127" i="9"/>
  <c r="N127" i="9"/>
  <c r="O126" i="9"/>
  <c r="N126" i="9"/>
  <c r="J126" i="9"/>
  <c r="O125" i="9"/>
  <c r="N125" i="9"/>
  <c r="J125" i="9"/>
  <c r="O95" i="9"/>
  <c r="N95" i="9"/>
  <c r="J95" i="9"/>
  <c r="O124" i="9"/>
  <c r="N124" i="9"/>
  <c r="J124" i="9"/>
  <c r="O123" i="9"/>
  <c r="N123" i="9"/>
  <c r="J123" i="9"/>
  <c r="O122" i="9"/>
  <c r="N122" i="9"/>
  <c r="J122" i="9"/>
  <c r="O121" i="9"/>
  <c r="N121" i="9"/>
  <c r="J121" i="9"/>
  <c r="O120" i="9"/>
  <c r="N120" i="9"/>
  <c r="J120" i="9"/>
  <c r="O94" i="9"/>
  <c r="N94" i="9"/>
  <c r="J94" i="9"/>
  <c r="O93" i="9"/>
  <c r="N93" i="9"/>
  <c r="J93" i="9"/>
  <c r="O119" i="9"/>
  <c r="N119" i="9"/>
  <c r="J119" i="9"/>
  <c r="O118" i="9"/>
  <c r="N118" i="9"/>
  <c r="J118" i="9"/>
  <c r="O117" i="9"/>
  <c r="N117" i="9"/>
  <c r="J117" i="9"/>
  <c r="O116" i="9"/>
  <c r="N116" i="9"/>
  <c r="J116" i="9"/>
  <c r="O115" i="9"/>
  <c r="N115" i="9"/>
  <c r="J115" i="9"/>
  <c r="O114" i="9"/>
  <c r="N114" i="9"/>
  <c r="O113" i="9"/>
  <c r="N113" i="9"/>
  <c r="O112" i="9"/>
  <c r="N112" i="9"/>
  <c r="J112" i="9"/>
  <c r="O111" i="9"/>
  <c r="N111" i="9"/>
  <c r="J111" i="9"/>
  <c r="O110" i="9"/>
  <c r="N110" i="9"/>
  <c r="J110" i="9"/>
  <c r="O109" i="9"/>
  <c r="N109" i="9"/>
  <c r="J109" i="9"/>
  <c r="O108" i="9"/>
  <c r="N108" i="9"/>
  <c r="J108" i="9"/>
  <c r="O107" i="9"/>
  <c r="N107" i="9"/>
  <c r="J107" i="9"/>
  <c r="O106" i="9"/>
  <c r="N106" i="9"/>
  <c r="J106" i="9"/>
  <c r="O105" i="9"/>
  <c r="N105" i="9"/>
  <c r="J105" i="9"/>
  <c r="O104" i="9"/>
  <c r="N104" i="9"/>
  <c r="J104" i="9"/>
  <c r="O103" i="9"/>
  <c r="N103" i="9"/>
  <c r="J103" i="9"/>
  <c r="O92" i="9"/>
  <c r="N92" i="9"/>
  <c r="J92" i="9"/>
  <c r="O101" i="9"/>
  <c r="N101" i="9"/>
  <c r="J101" i="9"/>
  <c r="O91" i="9"/>
  <c r="I91" i="9"/>
  <c r="J91" i="9" s="1"/>
  <c r="O100" i="9"/>
  <c r="N100" i="9"/>
  <c r="J100" i="9"/>
  <c r="O90" i="9"/>
  <c r="N90" i="9"/>
  <c r="J90" i="9"/>
  <c r="O89" i="9"/>
  <c r="N89" i="9"/>
  <c r="J89" i="9"/>
  <c r="O88" i="9"/>
  <c r="N88" i="9"/>
  <c r="J88" i="9"/>
  <c r="O87" i="9"/>
  <c r="N87" i="9"/>
  <c r="J87" i="9"/>
  <c r="O86" i="9"/>
  <c r="N86" i="9"/>
  <c r="J86" i="9"/>
  <c r="O85" i="9"/>
  <c r="N85" i="9"/>
  <c r="J85" i="9"/>
  <c r="O84" i="9"/>
  <c r="N84" i="9"/>
  <c r="J84" i="9"/>
  <c r="O83" i="9"/>
  <c r="N83" i="9"/>
  <c r="J83" i="9"/>
  <c r="O82" i="9"/>
  <c r="N82" i="9"/>
  <c r="J82" i="9"/>
  <c r="O81" i="9"/>
  <c r="N81" i="9"/>
  <c r="J81" i="9"/>
  <c r="O80" i="9"/>
  <c r="N80" i="9"/>
  <c r="J80" i="9"/>
  <c r="O99" i="9"/>
  <c r="N99" i="9"/>
  <c r="J99" i="9"/>
  <c r="O79" i="9"/>
  <c r="N79" i="9"/>
  <c r="J79" i="9"/>
  <c r="O78" i="9"/>
  <c r="N78" i="9"/>
  <c r="J78" i="9"/>
  <c r="O77" i="9"/>
  <c r="N77" i="9"/>
  <c r="J77" i="9"/>
  <c r="O76" i="9"/>
  <c r="N76" i="9"/>
  <c r="J76" i="9"/>
  <c r="O75" i="9"/>
  <c r="N75" i="9"/>
  <c r="J75" i="9"/>
  <c r="O74" i="9"/>
  <c r="N74" i="9"/>
  <c r="J74" i="9"/>
  <c r="O73" i="9"/>
  <c r="N73" i="9"/>
  <c r="J73" i="9"/>
  <c r="O72" i="9"/>
  <c r="N72" i="9"/>
  <c r="J72" i="9"/>
  <c r="O71" i="9"/>
  <c r="N71" i="9"/>
  <c r="J71" i="9"/>
  <c r="O70" i="9"/>
  <c r="N70" i="9"/>
  <c r="J70" i="9"/>
  <c r="O69" i="9"/>
  <c r="N69" i="9"/>
  <c r="J69" i="9"/>
  <c r="O68" i="9"/>
  <c r="N68" i="9"/>
  <c r="J68" i="9"/>
  <c r="O67" i="9"/>
  <c r="N67" i="9"/>
  <c r="J67" i="9"/>
  <c r="O32" i="9"/>
  <c r="N32" i="9"/>
  <c r="J32" i="9"/>
  <c r="O66" i="9"/>
  <c r="N66" i="9"/>
  <c r="J66" i="9"/>
  <c r="O65" i="9"/>
  <c r="N65" i="9"/>
  <c r="J65" i="9"/>
  <c r="I165" i="9"/>
  <c r="J165" i="9" s="1"/>
  <c r="I164" i="9"/>
  <c r="J164" i="9" s="1"/>
  <c r="O24" i="9"/>
  <c r="N24" i="9"/>
  <c r="O23" i="9"/>
  <c r="N23" i="9"/>
  <c r="O21" i="9"/>
  <c r="N21" i="9"/>
  <c r="J21" i="9"/>
  <c r="O20" i="9"/>
  <c r="N20" i="9"/>
  <c r="J20" i="9"/>
  <c r="O19" i="9"/>
  <c r="N19" i="9"/>
  <c r="J19" i="9"/>
  <c r="O18" i="9"/>
  <c r="N18" i="9"/>
  <c r="J18" i="9"/>
  <c r="O17" i="9"/>
  <c r="N17" i="9"/>
  <c r="J17" i="9"/>
  <c r="O16" i="9"/>
  <c r="N16" i="9"/>
  <c r="J16" i="9"/>
  <c r="O15" i="9"/>
  <c r="N15" i="9"/>
  <c r="J15" i="9"/>
  <c r="O14" i="9"/>
  <c r="N14" i="9"/>
  <c r="J14" i="9"/>
  <c r="O13" i="9"/>
  <c r="N13" i="9"/>
  <c r="J13" i="9"/>
  <c r="O12" i="9"/>
  <c r="N12" i="9"/>
  <c r="J12" i="9"/>
  <c r="O11" i="9"/>
  <c r="N11" i="9"/>
  <c r="J11" i="9"/>
  <c r="O10" i="9"/>
  <c r="N10" i="9"/>
  <c r="J10" i="9"/>
  <c r="O9" i="9"/>
  <c r="N9" i="9"/>
  <c r="J9" i="9"/>
  <c r="O7" i="9"/>
  <c r="N7" i="9"/>
  <c r="J7" i="9"/>
  <c r="O6" i="9"/>
  <c r="N6" i="9"/>
  <c r="J6" i="9"/>
  <c r="O5" i="9"/>
  <c r="N5" i="9"/>
  <c r="J5" i="9"/>
  <c r="O4" i="9"/>
  <c r="N4" i="9"/>
  <c r="J4" i="9"/>
  <c r="C22" i="7"/>
  <c r="B12" i="7"/>
  <c r="E2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" i="7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211" i="5" s="1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" i="5"/>
  <c r="J2" i="5"/>
  <c r="N2" i="5"/>
  <c r="O2" i="5"/>
  <c r="J3" i="5"/>
  <c r="N3" i="5"/>
  <c r="Q3" i="5" s="1"/>
  <c r="O3" i="5"/>
  <c r="J4" i="5"/>
  <c r="N4" i="5"/>
  <c r="O4" i="5"/>
  <c r="J5" i="5"/>
  <c r="N5" i="5"/>
  <c r="Q5" i="5" s="1"/>
  <c r="O5" i="5"/>
  <c r="J6" i="5"/>
  <c r="N6" i="5"/>
  <c r="O6" i="5"/>
  <c r="J7" i="5"/>
  <c r="N7" i="5"/>
  <c r="O7" i="5"/>
  <c r="Q7" i="5" s="1"/>
  <c r="J8" i="5"/>
  <c r="N8" i="5"/>
  <c r="O8" i="5"/>
  <c r="J9" i="5"/>
  <c r="N9" i="5"/>
  <c r="O9" i="5"/>
  <c r="J10" i="5"/>
  <c r="N10" i="5"/>
  <c r="O10" i="5"/>
  <c r="J11" i="5"/>
  <c r="N11" i="5"/>
  <c r="O11" i="5"/>
  <c r="J12" i="5"/>
  <c r="N12" i="5"/>
  <c r="O12" i="5"/>
  <c r="I13" i="5"/>
  <c r="Q13" i="5"/>
  <c r="D237" i="5"/>
  <c r="R211" i="5"/>
  <c r="I209" i="5"/>
  <c r="K209" i="5"/>
  <c r="L209" i="5"/>
  <c r="M209" i="5"/>
  <c r="H209" i="5"/>
  <c r="H203" i="5"/>
  <c r="K203" i="5"/>
  <c r="L203" i="5"/>
  <c r="I168" i="5"/>
  <c r="K168" i="5"/>
  <c r="L168" i="5"/>
  <c r="H168" i="5"/>
  <c r="K144" i="5"/>
  <c r="L144" i="5"/>
  <c r="H144" i="5"/>
  <c r="I127" i="5"/>
  <c r="K127" i="5"/>
  <c r="L127" i="5"/>
  <c r="H127" i="5"/>
  <c r="I119" i="5"/>
  <c r="K119" i="5"/>
  <c r="L119" i="5"/>
  <c r="H119" i="5"/>
  <c r="H113" i="5"/>
  <c r="J171" i="5"/>
  <c r="K171" i="5"/>
  <c r="L171" i="5"/>
  <c r="H171" i="5"/>
  <c r="J175" i="5"/>
  <c r="K175" i="5"/>
  <c r="L175" i="5"/>
  <c r="H175" i="5"/>
  <c r="L183" i="5"/>
  <c r="J179" i="5"/>
  <c r="K179" i="5"/>
  <c r="L179" i="5"/>
  <c r="H179" i="5"/>
  <c r="J183" i="5"/>
  <c r="K183" i="5"/>
  <c r="H183" i="5"/>
  <c r="E183" i="5"/>
  <c r="Q181" i="5"/>
  <c r="Q183" i="5" s="1"/>
  <c r="S183" i="5" s="1"/>
  <c r="E203" i="5"/>
  <c r="G119" i="5"/>
  <c r="E119" i="5"/>
  <c r="E14" i="5"/>
  <c r="E24" i="5"/>
  <c r="E34" i="5"/>
  <c r="E55" i="5"/>
  <c r="E63" i="5"/>
  <c r="E67" i="5"/>
  <c r="E79" i="5"/>
  <c r="E101" i="5"/>
  <c r="E113" i="5"/>
  <c r="E127" i="5"/>
  <c r="E144" i="5"/>
  <c r="E171" i="5"/>
  <c r="E175" i="5"/>
  <c r="E179" i="5"/>
  <c r="E209" i="5"/>
  <c r="K113" i="5"/>
  <c r="L113" i="5"/>
  <c r="I101" i="5"/>
  <c r="K101" i="5"/>
  <c r="L101" i="5"/>
  <c r="H101" i="5"/>
  <c r="I79" i="5"/>
  <c r="K79" i="5"/>
  <c r="L79" i="5"/>
  <c r="H79" i="5"/>
  <c r="I67" i="5"/>
  <c r="K67" i="5"/>
  <c r="L67" i="5"/>
  <c r="H67" i="5"/>
  <c r="K63" i="5"/>
  <c r="L63" i="5"/>
  <c r="H63" i="5"/>
  <c r="I55" i="5"/>
  <c r="K55" i="5"/>
  <c r="L55" i="5"/>
  <c r="H55" i="5"/>
  <c r="I34" i="5"/>
  <c r="K34" i="5"/>
  <c r="L34" i="5"/>
  <c r="H34" i="5"/>
  <c r="I24" i="5"/>
  <c r="K24" i="5"/>
  <c r="L24" i="5"/>
  <c r="H24" i="5"/>
  <c r="K14" i="5"/>
  <c r="L14" i="5"/>
  <c r="H14" i="5"/>
  <c r="Q177" i="5"/>
  <c r="Q179" i="5" s="1"/>
  <c r="S179" i="5" s="1"/>
  <c r="Q170" i="5"/>
  <c r="Q171" i="5" s="1"/>
  <c r="S171" i="5" s="1"/>
  <c r="Q173" i="5"/>
  <c r="Q175" i="5" s="1"/>
  <c r="S175" i="5" s="1"/>
  <c r="Q143" i="5"/>
  <c r="Q108" i="5"/>
  <c r="Q109" i="5"/>
  <c r="Q110" i="5"/>
  <c r="Q111" i="5"/>
  <c r="Q112" i="5"/>
  <c r="Q202" i="5"/>
  <c r="Q200" i="5"/>
  <c r="I182" i="5"/>
  <c r="I181" i="5"/>
  <c r="I202" i="5"/>
  <c r="I201" i="5"/>
  <c r="I200" i="5"/>
  <c r="I174" i="5"/>
  <c r="I178" i="5"/>
  <c r="I173" i="5"/>
  <c r="I170" i="5"/>
  <c r="I171" i="5" s="1"/>
  <c r="I177" i="5"/>
  <c r="I143" i="5"/>
  <c r="I144" i="5" s="1"/>
  <c r="I14" i="5"/>
  <c r="I106" i="5"/>
  <c r="I112" i="5"/>
  <c r="J33" i="6"/>
  <c r="J32" i="6"/>
  <c r="J31" i="6"/>
  <c r="J30" i="6"/>
  <c r="J29" i="6"/>
  <c r="J27" i="6"/>
  <c r="J26" i="6"/>
  <c r="J25" i="6"/>
  <c r="J24" i="6"/>
  <c r="J19" i="6"/>
  <c r="J18" i="6"/>
  <c r="J17" i="6"/>
  <c r="M17" i="6" s="1"/>
  <c r="M16" i="6"/>
  <c r="J16" i="6"/>
  <c r="M15" i="6"/>
  <c r="J15" i="6"/>
  <c r="J14" i="6"/>
  <c r="M14" i="6" s="1"/>
  <c r="J13" i="6"/>
  <c r="M13" i="6" s="1"/>
  <c r="J12" i="6"/>
  <c r="M12" i="6" s="1"/>
  <c r="J11" i="6"/>
  <c r="M11" i="6" s="1"/>
  <c r="J10" i="6"/>
  <c r="M10" i="6" s="1"/>
  <c r="J9" i="6"/>
  <c r="M9" i="6" s="1"/>
  <c r="J8" i="6"/>
  <c r="M8" i="6" s="1"/>
  <c r="J7" i="6"/>
  <c r="M7" i="6" s="1"/>
  <c r="J6" i="6"/>
  <c r="M6" i="6" s="1"/>
  <c r="J5" i="6"/>
  <c r="M5" i="6" s="1"/>
  <c r="J4" i="6"/>
  <c r="M4" i="6" s="1"/>
  <c r="J3" i="6"/>
  <c r="M3" i="6" s="1"/>
  <c r="O167" i="5"/>
  <c r="N167" i="5"/>
  <c r="J167" i="5"/>
  <c r="O23" i="5"/>
  <c r="N23" i="5"/>
  <c r="J23" i="5"/>
  <c r="O22" i="5"/>
  <c r="N22" i="5"/>
  <c r="J22" i="5"/>
  <c r="O21" i="5"/>
  <c r="N21" i="5"/>
  <c r="J21" i="5"/>
  <c r="O20" i="5"/>
  <c r="N20" i="5"/>
  <c r="J20" i="5"/>
  <c r="O19" i="5"/>
  <c r="N19" i="5"/>
  <c r="J19" i="5"/>
  <c r="O18" i="5"/>
  <c r="N18" i="5"/>
  <c r="J18" i="5"/>
  <c r="O17" i="5"/>
  <c r="N17" i="5"/>
  <c r="J17" i="5"/>
  <c r="O16" i="5"/>
  <c r="N16" i="5"/>
  <c r="J16" i="5"/>
  <c r="O33" i="5"/>
  <c r="N33" i="5"/>
  <c r="J33" i="5"/>
  <c r="O32" i="5"/>
  <c r="N32" i="5"/>
  <c r="J32" i="5"/>
  <c r="O31" i="5"/>
  <c r="N31" i="5"/>
  <c r="J31" i="5"/>
  <c r="O30" i="5"/>
  <c r="N30" i="5"/>
  <c r="J30" i="5"/>
  <c r="O29" i="5"/>
  <c r="N29" i="5"/>
  <c r="J29" i="5"/>
  <c r="O28" i="5"/>
  <c r="N28" i="5"/>
  <c r="J28" i="5"/>
  <c r="O105" i="5"/>
  <c r="N105" i="5"/>
  <c r="J105" i="5"/>
  <c r="O166" i="5"/>
  <c r="N166" i="5"/>
  <c r="J166" i="5"/>
  <c r="O165" i="5"/>
  <c r="N165" i="5"/>
  <c r="J165" i="5"/>
  <c r="O164" i="5"/>
  <c r="N164" i="5"/>
  <c r="J164" i="5"/>
  <c r="O163" i="5"/>
  <c r="N163" i="5"/>
  <c r="J163" i="5"/>
  <c r="O162" i="5"/>
  <c r="N162" i="5"/>
  <c r="J162" i="5"/>
  <c r="O161" i="5"/>
  <c r="N161" i="5"/>
  <c r="J161" i="5"/>
  <c r="O160" i="5"/>
  <c r="N160" i="5"/>
  <c r="J160" i="5"/>
  <c r="O159" i="5"/>
  <c r="N159" i="5"/>
  <c r="J159" i="5"/>
  <c r="O158" i="5"/>
  <c r="N158" i="5"/>
  <c r="J158" i="5"/>
  <c r="O157" i="5"/>
  <c r="N157" i="5"/>
  <c r="J157" i="5"/>
  <c r="O156" i="5"/>
  <c r="N156" i="5"/>
  <c r="J156" i="5"/>
  <c r="O155" i="5"/>
  <c r="N155" i="5"/>
  <c r="J155" i="5"/>
  <c r="O154" i="5"/>
  <c r="N154" i="5"/>
  <c r="J154" i="5"/>
  <c r="O153" i="5"/>
  <c r="N153" i="5"/>
  <c r="J153" i="5"/>
  <c r="O152" i="5"/>
  <c r="N152" i="5"/>
  <c r="J152" i="5"/>
  <c r="O151" i="5"/>
  <c r="N151" i="5"/>
  <c r="J151" i="5"/>
  <c r="O150" i="5"/>
  <c r="N150" i="5"/>
  <c r="J150" i="5"/>
  <c r="O149" i="5"/>
  <c r="N149" i="5"/>
  <c r="J149" i="5"/>
  <c r="O148" i="5"/>
  <c r="N148" i="5"/>
  <c r="J148" i="5"/>
  <c r="O147" i="5"/>
  <c r="N147" i="5"/>
  <c r="J147" i="5"/>
  <c r="O104" i="5"/>
  <c r="N104" i="5"/>
  <c r="J104" i="5"/>
  <c r="O146" i="5"/>
  <c r="N146" i="5"/>
  <c r="J146" i="5"/>
  <c r="O103" i="5"/>
  <c r="N103" i="5"/>
  <c r="J103" i="5"/>
  <c r="O100" i="5"/>
  <c r="N100" i="5"/>
  <c r="J100" i="5"/>
  <c r="O99" i="5"/>
  <c r="N99" i="5"/>
  <c r="J99" i="5"/>
  <c r="O142" i="5"/>
  <c r="N142" i="5"/>
  <c r="J142" i="5"/>
  <c r="O141" i="5"/>
  <c r="N141" i="5"/>
  <c r="J141" i="5"/>
  <c r="O140" i="5"/>
  <c r="N140" i="5"/>
  <c r="J140" i="5"/>
  <c r="O139" i="5"/>
  <c r="N139" i="5"/>
  <c r="J139" i="5"/>
  <c r="O138" i="5"/>
  <c r="N138" i="5"/>
  <c r="J138" i="5"/>
  <c r="O137" i="5"/>
  <c r="N137" i="5"/>
  <c r="J137" i="5"/>
  <c r="O136" i="5"/>
  <c r="N136" i="5"/>
  <c r="J136" i="5"/>
  <c r="O135" i="5"/>
  <c r="N135" i="5"/>
  <c r="J135" i="5"/>
  <c r="O134" i="5"/>
  <c r="N134" i="5"/>
  <c r="J134" i="5"/>
  <c r="O133" i="5"/>
  <c r="N133" i="5"/>
  <c r="J133" i="5"/>
  <c r="O132" i="5"/>
  <c r="N132" i="5"/>
  <c r="J132" i="5"/>
  <c r="O131" i="5"/>
  <c r="N131" i="5"/>
  <c r="J131" i="5"/>
  <c r="O126" i="5"/>
  <c r="N126" i="5"/>
  <c r="J126" i="5"/>
  <c r="O130" i="5"/>
  <c r="N130" i="5"/>
  <c r="J130" i="5"/>
  <c r="O125" i="5"/>
  <c r="N125" i="5"/>
  <c r="J125" i="5"/>
  <c r="O129" i="5"/>
  <c r="N129" i="5"/>
  <c r="J129" i="5"/>
  <c r="O98" i="5"/>
  <c r="N98" i="5"/>
  <c r="J98" i="5"/>
  <c r="O97" i="5"/>
  <c r="N97" i="5"/>
  <c r="J97" i="5"/>
  <c r="O96" i="5"/>
  <c r="N96" i="5"/>
  <c r="J96" i="5"/>
  <c r="O95" i="5"/>
  <c r="N95" i="5"/>
  <c r="O94" i="5"/>
  <c r="N94" i="5"/>
  <c r="O93" i="5"/>
  <c r="N93" i="5"/>
  <c r="J93" i="5"/>
  <c r="O92" i="5"/>
  <c r="N92" i="5"/>
  <c r="J92" i="5"/>
  <c r="O91" i="5"/>
  <c r="N91" i="5"/>
  <c r="J91" i="5"/>
  <c r="O90" i="5"/>
  <c r="N90" i="5"/>
  <c r="J90" i="5"/>
  <c r="O89" i="5"/>
  <c r="N89" i="5"/>
  <c r="J89" i="5"/>
  <c r="O88" i="5"/>
  <c r="N88" i="5"/>
  <c r="J88" i="5"/>
  <c r="O87" i="5"/>
  <c r="N87" i="5"/>
  <c r="J87" i="5"/>
  <c r="O86" i="5"/>
  <c r="N86" i="5"/>
  <c r="J86" i="5"/>
  <c r="O85" i="5"/>
  <c r="N85" i="5"/>
  <c r="J85" i="5"/>
  <c r="O84" i="5"/>
  <c r="N84" i="5"/>
  <c r="J84" i="5"/>
  <c r="O83" i="5"/>
  <c r="N83" i="5"/>
  <c r="J83" i="5"/>
  <c r="O82" i="5"/>
  <c r="N82" i="5"/>
  <c r="J82" i="5"/>
  <c r="O54" i="5"/>
  <c r="N54" i="5"/>
  <c r="J54" i="5"/>
  <c r="O53" i="5"/>
  <c r="N53" i="5"/>
  <c r="J53" i="5"/>
  <c r="O52" i="5"/>
  <c r="N52" i="5"/>
  <c r="J52" i="5"/>
  <c r="O51" i="5"/>
  <c r="N51" i="5"/>
  <c r="O50" i="5"/>
  <c r="N50" i="5"/>
  <c r="O49" i="5"/>
  <c r="N49" i="5"/>
  <c r="J49" i="5"/>
  <c r="O27" i="5"/>
  <c r="N27" i="5"/>
  <c r="J27" i="5"/>
  <c r="O26" i="5"/>
  <c r="N26" i="5"/>
  <c r="J26" i="5"/>
  <c r="O48" i="5"/>
  <c r="N48" i="5"/>
  <c r="J48" i="5"/>
  <c r="O47" i="5"/>
  <c r="N47" i="5"/>
  <c r="J47" i="5"/>
  <c r="O46" i="5"/>
  <c r="N46" i="5"/>
  <c r="J46" i="5"/>
  <c r="O45" i="5"/>
  <c r="N45" i="5"/>
  <c r="J45" i="5"/>
  <c r="O44" i="5"/>
  <c r="N44" i="5"/>
  <c r="J44" i="5"/>
  <c r="O43" i="5"/>
  <c r="N43" i="5"/>
  <c r="J43" i="5"/>
  <c r="O42" i="5"/>
  <c r="N42" i="5"/>
  <c r="J42" i="5"/>
  <c r="O41" i="5"/>
  <c r="N41" i="5"/>
  <c r="J41" i="5"/>
  <c r="O40" i="5"/>
  <c r="N40" i="5"/>
  <c r="J40" i="5"/>
  <c r="O62" i="5"/>
  <c r="I62" i="5"/>
  <c r="N62" i="5" s="1"/>
  <c r="O39" i="5"/>
  <c r="N39" i="5"/>
  <c r="J39" i="5"/>
  <c r="O38" i="5"/>
  <c r="N38" i="5"/>
  <c r="J38" i="5"/>
  <c r="O61" i="5"/>
  <c r="N61" i="5"/>
  <c r="J61" i="5"/>
  <c r="O60" i="5"/>
  <c r="N60" i="5"/>
  <c r="J60" i="5"/>
  <c r="O37" i="5"/>
  <c r="N37" i="5"/>
  <c r="J37" i="5"/>
  <c r="O59" i="5"/>
  <c r="N59" i="5"/>
  <c r="J59" i="5"/>
  <c r="O36" i="5"/>
  <c r="N36" i="5"/>
  <c r="J36" i="5"/>
  <c r="O58" i="5"/>
  <c r="N58" i="5"/>
  <c r="J58" i="5"/>
  <c r="O66" i="5"/>
  <c r="N66" i="5"/>
  <c r="J66" i="5"/>
  <c r="O81" i="5"/>
  <c r="N81" i="5"/>
  <c r="J81" i="5"/>
  <c r="O57" i="5"/>
  <c r="N57" i="5"/>
  <c r="J57" i="5"/>
  <c r="O78" i="5"/>
  <c r="N78" i="5"/>
  <c r="J78" i="5"/>
  <c r="O77" i="5"/>
  <c r="N77" i="5"/>
  <c r="J77" i="5"/>
  <c r="O76" i="5"/>
  <c r="N76" i="5"/>
  <c r="J76" i="5"/>
  <c r="O75" i="5"/>
  <c r="N75" i="5"/>
  <c r="J75" i="5"/>
  <c r="O74" i="5"/>
  <c r="N74" i="5"/>
  <c r="J74" i="5"/>
  <c r="O73" i="5"/>
  <c r="N73" i="5"/>
  <c r="J73" i="5"/>
  <c r="O72" i="5"/>
  <c r="N72" i="5"/>
  <c r="J72" i="5"/>
  <c r="O71" i="5"/>
  <c r="N71" i="5"/>
  <c r="J71" i="5"/>
  <c r="O70" i="5"/>
  <c r="N70" i="5"/>
  <c r="J70" i="5"/>
  <c r="O69" i="5"/>
  <c r="N69" i="5"/>
  <c r="J69" i="5"/>
  <c r="O118" i="5"/>
  <c r="N118" i="5"/>
  <c r="J118" i="5"/>
  <c r="O117" i="5"/>
  <c r="N117" i="5"/>
  <c r="J117" i="5"/>
  <c r="O116" i="5"/>
  <c r="N116" i="5"/>
  <c r="J116" i="5"/>
  <c r="O124" i="5"/>
  <c r="N124" i="5"/>
  <c r="J124" i="5"/>
  <c r="O123" i="5"/>
  <c r="N123" i="5"/>
  <c r="J123" i="5"/>
  <c r="O122" i="5"/>
  <c r="N122" i="5"/>
  <c r="J122" i="5"/>
  <c r="O115" i="5"/>
  <c r="N115" i="5"/>
  <c r="J115" i="5"/>
  <c r="O65" i="5"/>
  <c r="N65" i="5"/>
  <c r="J65" i="5"/>
  <c r="O199" i="5"/>
  <c r="N199" i="5"/>
  <c r="O198" i="5"/>
  <c r="N198" i="5"/>
  <c r="O197" i="5"/>
  <c r="N197" i="5"/>
  <c r="J197" i="5"/>
  <c r="O196" i="5"/>
  <c r="N196" i="5"/>
  <c r="J196" i="5"/>
  <c r="O195" i="5"/>
  <c r="N195" i="5"/>
  <c r="J195" i="5"/>
  <c r="O194" i="5"/>
  <c r="N194" i="5"/>
  <c r="J194" i="5"/>
  <c r="O193" i="5"/>
  <c r="N193" i="5"/>
  <c r="J193" i="5"/>
  <c r="O192" i="5"/>
  <c r="N192" i="5"/>
  <c r="J192" i="5"/>
  <c r="O191" i="5"/>
  <c r="N191" i="5"/>
  <c r="J191" i="5"/>
  <c r="O190" i="5"/>
  <c r="N190" i="5"/>
  <c r="J190" i="5"/>
  <c r="O189" i="5"/>
  <c r="N189" i="5"/>
  <c r="J189" i="5"/>
  <c r="O188" i="5"/>
  <c r="N188" i="5"/>
  <c r="J188" i="5"/>
  <c r="O187" i="5"/>
  <c r="N187" i="5"/>
  <c r="J187" i="5"/>
  <c r="O186" i="5"/>
  <c r="N186" i="5"/>
  <c r="J186" i="5"/>
  <c r="O185" i="5"/>
  <c r="N185" i="5"/>
  <c r="J185" i="5"/>
  <c r="O208" i="5"/>
  <c r="N208" i="5"/>
  <c r="J208" i="5"/>
  <c r="O207" i="5"/>
  <c r="N207" i="5"/>
  <c r="J207" i="5"/>
  <c r="O206" i="5"/>
  <c r="N206" i="5"/>
  <c r="J206" i="5"/>
  <c r="O205" i="5"/>
  <c r="N205" i="5"/>
  <c r="J205" i="5"/>
  <c r="B5" i="4"/>
  <c r="I33" i="3"/>
  <c r="I32" i="3"/>
  <c r="I31" i="3"/>
  <c r="I30" i="3"/>
  <c r="I29" i="3"/>
  <c r="I27" i="3"/>
  <c r="I26" i="3"/>
  <c r="I25" i="3"/>
  <c r="I24" i="3"/>
  <c r="I19" i="3"/>
  <c r="I18" i="3"/>
  <c r="I17" i="3"/>
  <c r="L17" i="3" s="1"/>
  <c r="L16" i="3"/>
  <c r="I16" i="3"/>
  <c r="I15" i="3"/>
  <c r="I14" i="3"/>
  <c r="L14" i="3" s="1"/>
  <c r="I13" i="3"/>
  <c r="L13" i="3" s="1"/>
  <c r="I12" i="3"/>
  <c r="L12" i="3" s="1"/>
  <c r="I11" i="3"/>
  <c r="L11" i="3" s="1"/>
  <c r="I10" i="3"/>
  <c r="L10" i="3" s="1"/>
  <c r="I9" i="3"/>
  <c r="L9" i="3" s="1"/>
  <c r="I8" i="3"/>
  <c r="L8" i="3" s="1"/>
  <c r="I7" i="3"/>
  <c r="L7" i="3" s="1"/>
  <c r="I6" i="3"/>
  <c r="L6" i="3" s="1"/>
  <c r="I5" i="3"/>
  <c r="L5" i="3" s="1"/>
  <c r="I4" i="3"/>
  <c r="L4" i="3" s="1"/>
  <c r="I3" i="3"/>
  <c r="L158" i="2"/>
  <c r="K158" i="2"/>
  <c r="H158" i="2"/>
  <c r="O157" i="2"/>
  <c r="N157" i="2"/>
  <c r="J157" i="2"/>
  <c r="O156" i="2"/>
  <c r="N156" i="2"/>
  <c r="J156" i="2"/>
  <c r="O155" i="2"/>
  <c r="N155" i="2"/>
  <c r="J155" i="2"/>
  <c r="O154" i="2"/>
  <c r="N154" i="2"/>
  <c r="J154" i="2"/>
  <c r="O153" i="2"/>
  <c r="N153" i="2"/>
  <c r="J153" i="2"/>
  <c r="O152" i="2"/>
  <c r="N152" i="2"/>
  <c r="J152" i="2"/>
  <c r="O151" i="2"/>
  <c r="N151" i="2"/>
  <c r="J151" i="2"/>
  <c r="O150" i="2"/>
  <c r="N150" i="2"/>
  <c r="J150" i="2"/>
  <c r="O149" i="2"/>
  <c r="N149" i="2"/>
  <c r="Q149" i="2" s="1"/>
  <c r="J149" i="2"/>
  <c r="O148" i="2"/>
  <c r="N148" i="2"/>
  <c r="J148" i="2"/>
  <c r="O147" i="2"/>
  <c r="N147" i="2"/>
  <c r="J147" i="2"/>
  <c r="O146" i="2"/>
  <c r="N146" i="2"/>
  <c r="J146" i="2"/>
  <c r="O145" i="2"/>
  <c r="N145" i="2"/>
  <c r="J145" i="2"/>
  <c r="O144" i="2"/>
  <c r="N144" i="2"/>
  <c r="J144" i="2"/>
  <c r="O143" i="2"/>
  <c r="N143" i="2"/>
  <c r="J143" i="2"/>
  <c r="O142" i="2"/>
  <c r="N142" i="2"/>
  <c r="J142" i="2"/>
  <c r="O141" i="2"/>
  <c r="N141" i="2"/>
  <c r="Q141" i="2" s="1"/>
  <c r="J141" i="2"/>
  <c r="O140" i="2"/>
  <c r="N140" i="2"/>
  <c r="J140" i="2"/>
  <c r="O139" i="2"/>
  <c r="N139" i="2"/>
  <c r="J139" i="2"/>
  <c r="O138" i="2"/>
  <c r="N138" i="2"/>
  <c r="J138" i="2"/>
  <c r="O137" i="2"/>
  <c r="N137" i="2"/>
  <c r="J137" i="2"/>
  <c r="O136" i="2"/>
  <c r="N136" i="2"/>
  <c r="J136" i="2"/>
  <c r="O135" i="2"/>
  <c r="N135" i="2"/>
  <c r="J135" i="2"/>
  <c r="O134" i="2"/>
  <c r="N134" i="2"/>
  <c r="J134" i="2"/>
  <c r="O133" i="2"/>
  <c r="N133" i="2"/>
  <c r="Q133" i="2" s="1"/>
  <c r="J133" i="2"/>
  <c r="O132" i="2"/>
  <c r="N132" i="2"/>
  <c r="J132" i="2"/>
  <c r="O131" i="2"/>
  <c r="N131" i="2"/>
  <c r="J131" i="2"/>
  <c r="O130" i="2"/>
  <c r="N130" i="2"/>
  <c r="J130" i="2"/>
  <c r="O129" i="2"/>
  <c r="N129" i="2"/>
  <c r="J129" i="2"/>
  <c r="O128" i="2"/>
  <c r="N128" i="2"/>
  <c r="J128" i="2"/>
  <c r="O127" i="2"/>
  <c r="N127" i="2"/>
  <c r="J127" i="2"/>
  <c r="O126" i="2"/>
  <c r="N126" i="2"/>
  <c r="J126" i="2"/>
  <c r="O125" i="2"/>
  <c r="N125" i="2"/>
  <c r="Q125" i="2" s="1"/>
  <c r="J125" i="2"/>
  <c r="O124" i="2"/>
  <c r="N124" i="2"/>
  <c r="J124" i="2"/>
  <c r="O123" i="2"/>
  <c r="N123" i="2"/>
  <c r="J123" i="2"/>
  <c r="O122" i="2"/>
  <c r="N122" i="2"/>
  <c r="J122" i="2"/>
  <c r="O121" i="2"/>
  <c r="N121" i="2"/>
  <c r="J121" i="2"/>
  <c r="O120" i="2"/>
  <c r="N120" i="2"/>
  <c r="J120" i="2"/>
  <c r="O119" i="2"/>
  <c r="N119" i="2"/>
  <c r="J119" i="2"/>
  <c r="O118" i="2"/>
  <c r="N118" i="2"/>
  <c r="J118" i="2"/>
  <c r="O117" i="2"/>
  <c r="N117" i="2"/>
  <c r="Q117" i="2" s="1"/>
  <c r="J117" i="2"/>
  <c r="O116" i="2"/>
  <c r="N116" i="2"/>
  <c r="J116" i="2"/>
  <c r="O115" i="2"/>
  <c r="N115" i="2"/>
  <c r="J115" i="2"/>
  <c r="O114" i="2"/>
  <c r="N114" i="2"/>
  <c r="J114" i="2"/>
  <c r="O113" i="2"/>
  <c r="N113" i="2"/>
  <c r="J113" i="2"/>
  <c r="O112" i="2"/>
  <c r="N112" i="2"/>
  <c r="J112" i="2"/>
  <c r="O111" i="2"/>
  <c r="N111" i="2"/>
  <c r="J111" i="2"/>
  <c r="O110" i="2"/>
  <c r="N110" i="2"/>
  <c r="J110" i="2"/>
  <c r="O109" i="2"/>
  <c r="N109" i="2"/>
  <c r="Q109" i="2" s="1"/>
  <c r="J109" i="2"/>
  <c r="O108" i="2"/>
  <c r="N108" i="2"/>
  <c r="J108" i="2"/>
  <c r="O107" i="2"/>
  <c r="N107" i="2"/>
  <c r="J107" i="2"/>
  <c r="O106" i="2"/>
  <c r="N106" i="2"/>
  <c r="J106" i="2"/>
  <c r="O105" i="2"/>
  <c r="N105" i="2"/>
  <c r="J105" i="2"/>
  <c r="O104" i="2"/>
  <c r="N104" i="2"/>
  <c r="J104" i="2"/>
  <c r="O103" i="2"/>
  <c r="N103" i="2"/>
  <c r="J103" i="2"/>
  <c r="O102" i="2"/>
  <c r="N102" i="2"/>
  <c r="J102" i="2"/>
  <c r="O101" i="2"/>
  <c r="N101" i="2"/>
  <c r="Q101" i="2" s="1"/>
  <c r="J101" i="2"/>
  <c r="O100" i="2"/>
  <c r="N100" i="2"/>
  <c r="J100" i="2"/>
  <c r="O99" i="2"/>
  <c r="N99" i="2"/>
  <c r="J99" i="2"/>
  <c r="O98" i="2"/>
  <c r="N98" i="2"/>
  <c r="J98" i="2"/>
  <c r="O97" i="2"/>
  <c r="N97" i="2"/>
  <c r="J97" i="2"/>
  <c r="O96" i="2"/>
  <c r="N96" i="2"/>
  <c r="J96" i="2"/>
  <c r="O95" i="2"/>
  <c r="N95" i="2"/>
  <c r="J95" i="2"/>
  <c r="O94" i="2"/>
  <c r="N94" i="2"/>
  <c r="J94" i="2"/>
  <c r="O93" i="2"/>
  <c r="N93" i="2"/>
  <c r="Q93" i="2" s="1"/>
  <c r="J93" i="2"/>
  <c r="O92" i="2"/>
  <c r="N92" i="2"/>
  <c r="J92" i="2"/>
  <c r="O91" i="2"/>
  <c r="N91" i="2"/>
  <c r="J91" i="2"/>
  <c r="O90" i="2"/>
  <c r="N90" i="2"/>
  <c r="J90" i="2"/>
  <c r="O89" i="2"/>
  <c r="N89" i="2"/>
  <c r="J89" i="2"/>
  <c r="O88" i="2"/>
  <c r="N88" i="2"/>
  <c r="J88" i="2"/>
  <c r="O87" i="2"/>
  <c r="N87" i="2"/>
  <c r="J87" i="2"/>
  <c r="O86" i="2"/>
  <c r="N86" i="2"/>
  <c r="O85" i="2"/>
  <c r="N85" i="2"/>
  <c r="O84" i="2"/>
  <c r="N84" i="2"/>
  <c r="Q84" i="2" s="1"/>
  <c r="J84" i="2"/>
  <c r="O83" i="2"/>
  <c r="N83" i="2"/>
  <c r="J83" i="2"/>
  <c r="O82" i="2"/>
  <c r="N82" i="2"/>
  <c r="J82" i="2"/>
  <c r="O81" i="2"/>
  <c r="N81" i="2"/>
  <c r="J81" i="2"/>
  <c r="O80" i="2"/>
  <c r="N80" i="2"/>
  <c r="J80" i="2"/>
  <c r="O79" i="2"/>
  <c r="N79" i="2"/>
  <c r="J79" i="2"/>
  <c r="O78" i="2"/>
  <c r="N78" i="2"/>
  <c r="J78" i="2"/>
  <c r="O77" i="2"/>
  <c r="N77" i="2"/>
  <c r="J77" i="2"/>
  <c r="O76" i="2"/>
  <c r="N76" i="2"/>
  <c r="Q76" i="2" s="1"/>
  <c r="J76" i="2"/>
  <c r="O75" i="2"/>
  <c r="N75" i="2"/>
  <c r="J75" i="2"/>
  <c r="O74" i="2"/>
  <c r="N74" i="2"/>
  <c r="J74" i="2"/>
  <c r="O73" i="2"/>
  <c r="N73" i="2"/>
  <c r="J73" i="2"/>
  <c r="O72" i="2"/>
  <c r="N72" i="2"/>
  <c r="J72" i="2"/>
  <c r="O71" i="2"/>
  <c r="N71" i="2"/>
  <c r="J71" i="2"/>
  <c r="O70" i="2"/>
  <c r="N70" i="2"/>
  <c r="J70" i="2"/>
  <c r="O69" i="2"/>
  <c r="N69" i="2"/>
  <c r="O68" i="2"/>
  <c r="N68" i="2"/>
  <c r="O67" i="2"/>
  <c r="N67" i="2"/>
  <c r="J67" i="2"/>
  <c r="O66" i="2"/>
  <c r="N66" i="2"/>
  <c r="J66" i="2"/>
  <c r="O65" i="2"/>
  <c r="N65" i="2"/>
  <c r="J65" i="2"/>
  <c r="O64" i="2"/>
  <c r="N64" i="2"/>
  <c r="J64" i="2"/>
  <c r="O63" i="2"/>
  <c r="N63" i="2"/>
  <c r="J63" i="2"/>
  <c r="O62" i="2"/>
  <c r="N62" i="2"/>
  <c r="Q62" i="2" s="1"/>
  <c r="J62" i="2"/>
  <c r="O61" i="2"/>
  <c r="N61" i="2"/>
  <c r="J61" i="2"/>
  <c r="O60" i="2"/>
  <c r="N60" i="2"/>
  <c r="J60" i="2"/>
  <c r="O59" i="2"/>
  <c r="N59" i="2"/>
  <c r="J59" i="2"/>
  <c r="O58" i="2"/>
  <c r="N58" i="2"/>
  <c r="J58" i="2"/>
  <c r="O57" i="2"/>
  <c r="N57" i="2"/>
  <c r="J57" i="2"/>
  <c r="O56" i="2"/>
  <c r="N56" i="2"/>
  <c r="J56" i="2"/>
  <c r="O55" i="2"/>
  <c r="I55" i="2"/>
  <c r="I158" i="2" s="1"/>
  <c r="O54" i="2"/>
  <c r="N54" i="2"/>
  <c r="J54" i="2"/>
  <c r="O53" i="2"/>
  <c r="N53" i="2"/>
  <c r="J53" i="2"/>
  <c r="O52" i="2"/>
  <c r="N52" i="2"/>
  <c r="J52" i="2"/>
  <c r="O51" i="2"/>
  <c r="N51" i="2"/>
  <c r="Q51" i="2" s="1"/>
  <c r="J51" i="2"/>
  <c r="O50" i="2"/>
  <c r="N50" i="2"/>
  <c r="J50" i="2"/>
  <c r="O49" i="2"/>
  <c r="N49" i="2"/>
  <c r="J49" i="2"/>
  <c r="O48" i="2"/>
  <c r="N48" i="2"/>
  <c r="J48" i="2"/>
  <c r="O47" i="2"/>
  <c r="N47" i="2"/>
  <c r="J47" i="2"/>
  <c r="O46" i="2"/>
  <c r="N46" i="2"/>
  <c r="J46" i="2"/>
  <c r="O45" i="2"/>
  <c r="N45" i="2"/>
  <c r="J45" i="2"/>
  <c r="O44" i="2"/>
  <c r="N44" i="2"/>
  <c r="J44" i="2"/>
  <c r="O43" i="2"/>
  <c r="N43" i="2"/>
  <c r="Q43" i="2" s="1"/>
  <c r="J43" i="2"/>
  <c r="O42" i="2"/>
  <c r="N42" i="2"/>
  <c r="J42" i="2"/>
  <c r="O41" i="2"/>
  <c r="N41" i="2"/>
  <c r="J41" i="2"/>
  <c r="O40" i="2"/>
  <c r="N40" i="2"/>
  <c r="J40" i="2"/>
  <c r="O39" i="2"/>
  <c r="N39" i="2"/>
  <c r="J39" i="2"/>
  <c r="O38" i="2"/>
  <c r="N38" i="2"/>
  <c r="J38" i="2"/>
  <c r="O37" i="2"/>
  <c r="N37" i="2"/>
  <c r="J37" i="2"/>
  <c r="O36" i="2"/>
  <c r="N36" i="2"/>
  <c r="J36" i="2"/>
  <c r="O35" i="2"/>
  <c r="N35" i="2"/>
  <c r="J35" i="2"/>
  <c r="O34" i="2"/>
  <c r="N34" i="2"/>
  <c r="J34" i="2"/>
  <c r="O33" i="2"/>
  <c r="N33" i="2"/>
  <c r="J33" i="2"/>
  <c r="O32" i="2"/>
  <c r="N32" i="2"/>
  <c r="J32" i="2"/>
  <c r="O31" i="2"/>
  <c r="N31" i="2"/>
  <c r="J31" i="2"/>
  <c r="O30" i="2"/>
  <c r="N30" i="2"/>
  <c r="J30" i="2"/>
  <c r="O29" i="2"/>
  <c r="N29" i="2"/>
  <c r="J29" i="2"/>
  <c r="O28" i="2"/>
  <c r="N28" i="2"/>
  <c r="J28" i="2"/>
  <c r="O27" i="2"/>
  <c r="N27" i="2"/>
  <c r="J27" i="2"/>
  <c r="O26" i="2"/>
  <c r="N26" i="2"/>
  <c r="J26" i="2"/>
  <c r="Q25" i="2"/>
  <c r="J25" i="2"/>
  <c r="L24" i="2"/>
  <c r="K24" i="2"/>
  <c r="H24" i="2"/>
  <c r="O21" i="2"/>
  <c r="N21" i="2"/>
  <c r="O20" i="2"/>
  <c r="N20" i="2"/>
  <c r="O19" i="2"/>
  <c r="N19" i="2"/>
  <c r="J19" i="2"/>
  <c r="O18" i="2"/>
  <c r="N18" i="2"/>
  <c r="J18" i="2"/>
  <c r="O17" i="2"/>
  <c r="N17" i="2"/>
  <c r="J17" i="2"/>
  <c r="O16" i="2"/>
  <c r="N16" i="2"/>
  <c r="J16" i="2"/>
  <c r="O15" i="2"/>
  <c r="N15" i="2"/>
  <c r="J15" i="2"/>
  <c r="O14" i="2"/>
  <c r="N14" i="2"/>
  <c r="J14" i="2"/>
  <c r="O13" i="2"/>
  <c r="N13" i="2"/>
  <c r="J13" i="2"/>
  <c r="O12" i="2"/>
  <c r="N12" i="2"/>
  <c r="J12" i="2"/>
  <c r="O11" i="2"/>
  <c r="N11" i="2"/>
  <c r="Q11" i="2" s="1"/>
  <c r="J11" i="2"/>
  <c r="O10" i="2"/>
  <c r="N10" i="2"/>
  <c r="J10" i="2"/>
  <c r="O9" i="2"/>
  <c r="N9" i="2"/>
  <c r="J9" i="2"/>
  <c r="O8" i="2"/>
  <c r="N8" i="2"/>
  <c r="Q8" i="2" s="1"/>
  <c r="J8" i="2"/>
  <c r="O7" i="2"/>
  <c r="N7" i="2"/>
  <c r="J7" i="2"/>
  <c r="I23" i="2"/>
  <c r="J23" i="2" s="1"/>
  <c r="O6" i="2"/>
  <c r="N6" i="2"/>
  <c r="J6" i="2"/>
  <c r="O5" i="2"/>
  <c r="N5" i="2"/>
  <c r="J5" i="2"/>
  <c r="I22" i="2"/>
  <c r="J22" i="2" s="1"/>
  <c r="O4" i="2"/>
  <c r="N4" i="2"/>
  <c r="J4" i="2"/>
  <c r="O3" i="2"/>
  <c r="N3" i="2"/>
  <c r="J3" i="2"/>
  <c r="N11" i="10" l="1"/>
  <c r="J14" i="11"/>
  <c r="J26" i="11"/>
  <c r="J28" i="11"/>
  <c r="M30" i="11"/>
  <c r="N5" i="10"/>
  <c r="N8" i="10"/>
  <c r="G5" i="10"/>
  <c r="N15" i="10"/>
  <c r="K17" i="10"/>
  <c r="M17" i="10"/>
  <c r="G9" i="10"/>
  <c r="G12" i="10"/>
  <c r="G16" i="10"/>
  <c r="N13" i="10"/>
  <c r="N10" i="10"/>
  <c r="G13" i="10"/>
  <c r="N4" i="10"/>
  <c r="I17" i="10"/>
  <c r="N17" i="10" s="1"/>
  <c r="N3" i="10"/>
  <c r="G6" i="10"/>
  <c r="G7" i="10"/>
  <c r="G4" i="10"/>
  <c r="G14" i="10"/>
  <c r="G11" i="10"/>
  <c r="F17" i="10"/>
  <c r="D17" i="10"/>
  <c r="B17" i="10"/>
  <c r="G3" i="10"/>
  <c r="Q5" i="9"/>
  <c r="Q14" i="9"/>
  <c r="Q104" i="9"/>
  <c r="Q67" i="9"/>
  <c r="Q75" i="9"/>
  <c r="Q82" i="9"/>
  <c r="Q90" i="9"/>
  <c r="Q101" i="9"/>
  <c r="Q27" i="9"/>
  <c r="Q28" i="9"/>
  <c r="Q37" i="9"/>
  <c r="Q42" i="9"/>
  <c r="Q49" i="9"/>
  <c r="Q57" i="9"/>
  <c r="Q136" i="9"/>
  <c r="Q63" i="9"/>
  <c r="Q32" i="9"/>
  <c r="Q74" i="9"/>
  <c r="Q81" i="9"/>
  <c r="Q89" i="9"/>
  <c r="Q129" i="9"/>
  <c r="Q159" i="9"/>
  <c r="Q58" i="9"/>
  <c r="Q137" i="9"/>
  <c r="Q147" i="9"/>
  <c r="Q124" i="9"/>
  <c r="Q162" i="9"/>
  <c r="Q105" i="9"/>
  <c r="Q119" i="9"/>
  <c r="Q95" i="9"/>
  <c r="Q127" i="9"/>
  <c r="Q97" i="9"/>
  <c r="Q65" i="9"/>
  <c r="Q72" i="9"/>
  <c r="Q99" i="9"/>
  <c r="Q117" i="9"/>
  <c r="Q123" i="9"/>
  <c r="Q128" i="9"/>
  <c r="Q92" i="9"/>
  <c r="Q98" i="9"/>
  <c r="Q34" i="9"/>
  <c r="Q131" i="9"/>
  <c r="Q54" i="9"/>
  <c r="Q152" i="9"/>
  <c r="Q160" i="9"/>
  <c r="Q118" i="9"/>
  <c r="Q13" i="9"/>
  <c r="Q21" i="9"/>
  <c r="Q108" i="9"/>
  <c r="Q30" i="9"/>
  <c r="Q40" i="9"/>
  <c r="Q149" i="9"/>
  <c r="Q158" i="9"/>
  <c r="Q6" i="9"/>
  <c r="Q15" i="9"/>
  <c r="Q68" i="9"/>
  <c r="Q76" i="9"/>
  <c r="Q83" i="9"/>
  <c r="Q100" i="9"/>
  <c r="Q107" i="9"/>
  <c r="Q94" i="9"/>
  <c r="Q126" i="9"/>
  <c r="Q130" i="9"/>
  <c r="Q39" i="9"/>
  <c r="Q43" i="9"/>
  <c r="Q59" i="9"/>
  <c r="Q141" i="9"/>
  <c r="Q116" i="9"/>
  <c r="Q156" i="9"/>
  <c r="Q9" i="9"/>
  <c r="Q17" i="9"/>
  <c r="Q70" i="9"/>
  <c r="Q78" i="9"/>
  <c r="Q85" i="9"/>
  <c r="Q109" i="9"/>
  <c r="Q115" i="9"/>
  <c r="Q121" i="9"/>
  <c r="Q33" i="9"/>
  <c r="Q41" i="9"/>
  <c r="Q45" i="9"/>
  <c r="Q53" i="9"/>
  <c r="Q61" i="9"/>
  <c r="Q140" i="9"/>
  <c r="Q122" i="9"/>
  <c r="Q96" i="9"/>
  <c r="Q133" i="9"/>
  <c r="Q48" i="9"/>
  <c r="Q56" i="9"/>
  <c r="Q135" i="9"/>
  <c r="Q145" i="9"/>
  <c r="Q154" i="9"/>
  <c r="N91" i="9"/>
  <c r="Q91" i="9" s="1"/>
  <c r="Q110" i="9"/>
  <c r="Q36" i="9"/>
  <c r="Q134" i="9"/>
  <c r="Q50" i="9"/>
  <c r="Q60" i="9"/>
  <c r="Q139" i="9"/>
  <c r="Q146" i="9"/>
  <c r="Q155" i="9"/>
  <c r="Q106" i="9"/>
  <c r="Q46" i="9"/>
  <c r="Q114" i="9"/>
  <c r="Q120" i="9"/>
  <c r="Q10" i="9"/>
  <c r="Q71" i="9"/>
  <c r="Q112" i="9"/>
  <c r="Q29" i="9"/>
  <c r="Q38" i="9"/>
  <c r="Q44" i="9"/>
  <c r="Q52" i="9"/>
  <c r="Q62" i="9"/>
  <c r="Q148" i="9"/>
  <c r="Q11" i="9"/>
  <c r="Q19" i="9"/>
  <c r="Q87" i="9"/>
  <c r="Q150" i="9"/>
  <c r="Q23" i="9"/>
  <c r="Q93" i="9"/>
  <c r="Q125" i="9"/>
  <c r="Q12" i="9"/>
  <c r="Q20" i="9"/>
  <c r="Q24" i="9"/>
  <c r="Q66" i="9"/>
  <c r="Q73" i="9"/>
  <c r="Q80" i="9"/>
  <c r="Q88" i="9"/>
  <c r="Q103" i="9"/>
  <c r="Q26" i="9"/>
  <c r="Q132" i="9"/>
  <c r="Q55" i="9"/>
  <c r="Q144" i="9"/>
  <c r="Q161" i="9"/>
  <c r="Q18" i="9"/>
  <c r="Q79" i="9"/>
  <c r="Q86" i="9"/>
  <c r="Q113" i="9"/>
  <c r="Q51" i="9"/>
  <c r="Q138" i="9"/>
  <c r="Q157" i="9"/>
  <c r="Q7" i="9"/>
  <c r="Q16" i="9"/>
  <c r="Q69" i="9"/>
  <c r="Q77" i="9"/>
  <c r="Q84" i="9"/>
  <c r="Q111" i="9"/>
  <c r="Q35" i="9"/>
  <c r="Q47" i="9"/>
  <c r="Q142" i="9"/>
  <c r="Q153" i="9"/>
  <c r="Q4" i="9"/>
  <c r="Q63" i="2"/>
  <c r="Q87" i="2"/>
  <c r="Q95" i="2"/>
  <c r="Q103" i="2"/>
  <c r="Q111" i="2"/>
  <c r="Q119" i="2"/>
  <c r="Q127" i="2"/>
  <c r="Q135" i="2"/>
  <c r="Q143" i="2"/>
  <c r="Q151" i="2"/>
  <c r="Q60" i="2"/>
  <c r="Q74" i="2"/>
  <c r="Q82" i="2"/>
  <c r="Q85" i="2"/>
  <c r="Q69" i="2"/>
  <c r="Q77" i="2"/>
  <c r="B16" i="7"/>
  <c r="D16" i="7" s="1"/>
  <c r="B17" i="7"/>
  <c r="D17" i="7" s="1"/>
  <c r="B18" i="7"/>
  <c r="D18" i="7" s="1"/>
  <c r="Q9" i="5"/>
  <c r="B19" i="7"/>
  <c r="D19" i="7" s="1"/>
  <c r="F22" i="7"/>
  <c r="G12" i="7"/>
  <c r="G16" i="7"/>
  <c r="Q11" i="5"/>
  <c r="Q6" i="5"/>
  <c r="Q10" i="5"/>
  <c r="Q12" i="5"/>
  <c r="Q8" i="5"/>
  <c r="Q2" i="5"/>
  <c r="Q4" i="5"/>
  <c r="J209" i="5"/>
  <c r="I175" i="5"/>
  <c r="J144" i="5"/>
  <c r="J203" i="5"/>
  <c r="I179" i="5"/>
  <c r="J127" i="5"/>
  <c r="J168" i="5"/>
  <c r="J119" i="5"/>
  <c r="I203" i="5"/>
  <c r="I183" i="5"/>
  <c r="J34" i="5"/>
  <c r="J24" i="5"/>
  <c r="J14" i="5"/>
  <c r="J67" i="5"/>
  <c r="I113" i="5"/>
  <c r="J79" i="5"/>
  <c r="J101" i="5"/>
  <c r="J113" i="5"/>
  <c r="J55" i="5"/>
  <c r="I63" i="5"/>
  <c r="Q124" i="5"/>
  <c r="Q73" i="5"/>
  <c r="Q66" i="5"/>
  <c r="Q39" i="5"/>
  <c r="Q41" i="5"/>
  <c r="Q26" i="5"/>
  <c r="Q50" i="5"/>
  <c r="Q53" i="5"/>
  <c r="Q88" i="5"/>
  <c r="Q126" i="5"/>
  <c r="Q138" i="5"/>
  <c r="Q146" i="5"/>
  <c r="Q153" i="5"/>
  <c r="Q161" i="5"/>
  <c r="Q29" i="5"/>
  <c r="Q167" i="5"/>
  <c r="Q19" i="5"/>
  <c r="Q122" i="5"/>
  <c r="Q71" i="5"/>
  <c r="Q57" i="5"/>
  <c r="Q61" i="5"/>
  <c r="Q62" i="5"/>
  <c r="Q47" i="5"/>
  <c r="Q51" i="5"/>
  <c r="Q86" i="5"/>
  <c r="Q125" i="5"/>
  <c r="Q100" i="5"/>
  <c r="Q151" i="5"/>
  <c r="Q159" i="5"/>
  <c r="Q105" i="5"/>
  <c r="Q17" i="5"/>
  <c r="Q136" i="5"/>
  <c r="Q187" i="5"/>
  <c r="Q195" i="5"/>
  <c r="Q198" i="5"/>
  <c r="Q85" i="5"/>
  <c r="Q91" i="5"/>
  <c r="Q94" i="5"/>
  <c r="Q97" i="5"/>
  <c r="Q148" i="5"/>
  <c r="Q32" i="5"/>
  <c r="Q189" i="5"/>
  <c r="Q87" i="5"/>
  <c r="Q118" i="5"/>
  <c r="Q76" i="5"/>
  <c r="Q43" i="5"/>
  <c r="Q82" i="5"/>
  <c r="Q133" i="5"/>
  <c r="Q156" i="5"/>
  <c r="Q164" i="5"/>
  <c r="Q22" i="5"/>
  <c r="Q65" i="5"/>
  <c r="Q69" i="5"/>
  <c r="Q77" i="5"/>
  <c r="Q37" i="5"/>
  <c r="Q92" i="5"/>
  <c r="Q98" i="5"/>
  <c r="Q134" i="5"/>
  <c r="Q142" i="5"/>
  <c r="Q149" i="5"/>
  <c r="Q197" i="5"/>
  <c r="Q49" i="5"/>
  <c r="Q206" i="5"/>
  <c r="Q190" i="5"/>
  <c r="Q199" i="5"/>
  <c r="Q59" i="5"/>
  <c r="Q42" i="5"/>
  <c r="Q27" i="5"/>
  <c r="Q54" i="5"/>
  <c r="Q115" i="5"/>
  <c r="Q70" i="5"/>
  <c r="Q78" i="5"/>
  <c r="Q44" i="5"/>
  <c r="Q90" i="5"/>
  <c r="Q129" i="5"/>
  <c r="Q135" i="5"/>
  <c r="Q99" i="5"/>
  <c r="Q150" i="5"/>
  <c r="Q158" i="5"/>
  <c r="Q166" i="5"/>
  <c r="Q16" i="5"/>
  <c r="Q141" i="5"/>
  <c r="Q52" i="5"/>
  <c r="Q84" i="5"/>
  <c r="Q89" i="5"/>
  <c r="Q104" i="5"/>
  <c r="Q154" i="5"/>
  <c r="Q162" i="5"/>
  <c r="Q30" i="5"/>
  <c r="Q20" i="5"/>
  <c r="M20" i="6"/>
  <c r="Q208" i="5"/>
  <c r="Q207" i="5"/>
  <c r="Q188" i="5"/>
  <c r="Q191" i="5"/>
  <c r="Q196" i="5"/>
  <c r="Q46" i="5"/>
  <c r="Q93" i="5"/>
  <c r="Q96" i="5"/>
  <c r="Q132" i="5"/>
  <c r="Q140" i="5"/>
  <c r="Q147" i="5"/>
  <c r="Q155" i="5"/>
  <c r="Q163" i="5"/>
  <c r="Q31" i="5"/>
  <c r="Q21" i="5"/>
  <c r="Q186" i="5"/>
  <c r="Q194" i="5"/>
  <c r="Q58" i="5"/>
  <c r="Q123" i="5"/>
  <c r="Q117" i="5"/>
  <c r="Q72" i="5"/>
  <c r="Q75" i="5"/>
  <c r="Q81" i="5"/>
  <c r="Q36" i="5"/>
  <c r="Q38" i="5"/>
  <c r="Q45" i="5"/>
  <c r="Q83" i="5"/>
  <c r="Q95" i="5"/>
  <c r="Q131" i="5"/>
  <c r="Q139" i="5"/>
  <c r="Q74" i="5"/>
  <c r="Q185" i="5"/>
  <c r="Q193" i="5"/>
  <c r="Q40" i="5"/>
  <c r="Q48" i="5"/>
  <c r="Q157" i="5"/>
  <c r="Q165" i="5"/>
  <c r="Q33" i="5"/>
  <c r="Q23" i="5"/>
  <c r="J62" i="5"/>
  <c r="J63" i="5" s="1"/>
  <c r="Q116" i="5"/>
  <c r="Q192" i="5"/>
  <c r="Q60" i="5"/>
  <c r="Q130" i="5"/>
  <c r="Q137" i="5"/>
  <c r="Q103" i="5"/>
  <c r="Q152" i="5"/>
  <c r="Q160" i="5"/>
  <c r="Q28" i="5"/>
  <c r="Q18" i="5"/>
  <c r="Q205" i="5"/>
  <c r="Q157" i="2"/>
  <c r="Q88" i="2"/>
  <c r="Q96" i="2"/>
  <c r="Q104" i="2"/>
  <c r="Q112" i="2"/>
  <c r="Q120" i="2"/>
  <c r="Q128" i="2"/>
  <c r="Q136" i="2"/>
  <c r="Q144" i="2"/>
  <c r="Q152" i="2"/>
  <c r="Q45" i="2"/>
  <c r="Q56" i="2"/>
  <c r="Q64" i="2"/>
  <c r="Q70" i="2"/>
  <c r="Q78" i="2"/>
  <c r="Q89" i="2"/>
  <c r="Q97" i="2"/>
  <c r="Q105" i="2"/>
  <c r="Q113" i="2"/>
  <c r="Q121" i="2"/>
  <c r="Q129" i="2"/>
  <c r="Q137" i="2"/>
  <c r="Q145" i="2"/>
  <c r="Q153" i="2"/>
  <c r="Q38" i="2"/>
  <c r="Q39" i="2"/>
  <c r="Q41" i="2"/>
  <c r="Q3" i="2"/>
  <c r="Q7" i="2"/>
  <c r="Q37" i="2"/>
  <c r="Q12" i="2"/>
  <c r="Q31" i="2"/>
  <c r="Q75" i="2"/>
  <c r="Q102" i="2"/>
  <c r="Q35" i="2"/>
  <c r="Q61" i="2"/>
  <c r="Q86" i="2"/>
  <c r="Q94" i="2"/>
  <c r="Q150" i="2"/>
  <c r="Q9" i="2"/>
  <c r="Q33" i="2"/>
  <c r="Q36" i="2"/>
  <c r="Q83" i="2"/>
  <c r="Q110" i="2"/>
  <c r="Q118" i="2"/>
  <c r="Q134" i="2"/>
  <c r="Q142" i="2"/>
  <c r="Q53" i="2"/>
  <c r="Q140" i="2"/>
  <c r="Q156" i="2"/>
  <c r="Q126" i="2"/>
  <c r="Q10" i="2"/>
  <c r="Q15" i="2"/>
  <c r="Q21" i="2"/>
  <c r="Q34" i="2"/>
  <c r="Q17" i="2"/>
  <c r="Q20" i="2"/>
  <c r="Q40" i="2"/>
  <c r="Q48" i="2"/>
  <c r="Q67" i="2"/>
  <c r="Q73" i="2"/>
  <c r="Q100" i="2"/>
  <c r="Q108" i="2"/>
  <c r="Q124" i="2"/>
  <c r="Q132" i="2"/>
  <c r="Q148" i="2"/>
  <c r="J24" i="2"/>
  <c r="Q13" i="2"/>
  <c r="Q29" i="2"/>
  <c r="Q49" i="2"/>
  <c r="Q68" i="2"/>
  <c r="Q59" i="2"/>
  <c r="Q81" i="2"/>
  <c r="Q92" i="2"/>
  <c r="Q116" i="2"/>
  <c r="Q32" i="2"/>
  <c r="Q47" i="2"/>
  <c r="Q52" i="2"/>
  <c r="Q4" i="2"/>
  <c r="Q19" i="2"/>
  <c r="Q27" i="2"/>
  <c r="Q50" i="2"/>
  <c r="Q14" i="2"/>
  <c r="Q26" i="2"/>
  <c r="Q42" i="2"/>
  <c r="I24" i="2"/>
  <c r="Q54" i="2"/>
  <c r="Q6" i="2"/>
  <c r="J55" i="2"/>
  <c r="J158" i="2" s="1"/>
  <c r="Q57" i="2"/>
  <c r="Q65" i="2"/>
  <c r="Q71" i="2"/>
  <c r="Q79" i="2"/>
  <c r="Q90" i="2"/>
  <c r="Q98" i="2"/>
  <c r="Q106" i="2"/>
  <c r="Q114" i="2"/>
  <c r="Q122" i="2"/>
  <c r="Q130" i="2"/>
  <c r="Q138" i="2"/>
  <c r="Q146" i="2"/>
  <c r="Q154" i="2"/>
  <c r="O24" i="2"/>
  <c r="O158" i="2" s="1"/>
  <c r="Q18" i="2"/>
  <c r="Q30" i="2"/>
  <c r="Q46" i="2"/>
  <c r="N55" i="2"/>
  <c r="Q55" i="2" s="1"/>
  <c r="Q5" i="2"/>
  <c r="Q16" i="2"/>
  <c r="Q28" i="2"/>
  <c r="Q44" i="2"/>
  <c r="Q58" i="2"/>
  <c r="Q66" i="2"/>
  <c r="Q72" i="2"/>
  <c r="Q80" i="2"/>
  <c r="Q91" i="2"/>
  <c r="Q99" i="2"/>
  <c r="Q107" i="2"/>
  <c r="Q115" i="2"/>
  <c r="Q123" i="2"/>
  <c r="Q131" i="2"/>
  <c r="Q139" i="2"/>
  <c r="Q147" i="2"/>
  <c r="Q155" i="2"/>
  <c r="L3" i="3"/>
  <c r="L15" i="3"/>
  <c r="N24" i="2"/>
  <c r="G17" i="10" l="1"/>
  <c r="G17" i="7"/>
  <c r="G19" i="7"/>
  <c r="G18" i="7"/>
  <c r="Q127" i="5"/>
  <c r="Q209" i="5"/>
  <c r="Q119" i="5"/>
  <c r="Q203" i="5"/>
  <c r="Q144" i="5"/>
  <c r="Q14" i="5"/>
  <c r="B2" i="7" s="1"/>
  <c r="Q63" i="5"/>
  <c r="Q24" i="5"/>
  <c r="Q168" i="5"/>
  <c r="Q101" i="5"/>
  <c r="Q55" i="5"/>
  <c r="Q113" i="5"/>
  <c r="Q79" i="5"/>
  <c r="Q67" i="5"/>
  <c r="Q34" i="5"/>
  <c r="L20" i="3"/>
  <c r="C6" i="4" s="1"/>
  <c r="N158" i="2"/>
  <c r="Q158" i="2" s="1"/>
  <c r="C5" i="4" s="1"/>
  <c r="Q24" i="2"/>
  <c r="C9" i="4" l="1"/>
  <c r="C12" i="4" s="1"/>
  <c r="S79" i="5"/>
  <c r="B8" i="7"/>
  <c r="S113" i="5"/>
  <c r="B10" i="7"/>
  <c r="S119" i="5"/>
  <c r="B11" i="7"/>
  <c r="D2" i="7"/>
  <c r="G2" i="7"/>
  <c r="S144" i="5"/>
  <c r="B14" i="7"/>
  <c r="S55" i="5"/>
  <c r="B5" i="7"/>
  <c r="S168" i="5"/>
  <c r="B15" i="7"/>
  <c r="S24" i="5"/>
  <c r="B3" i="7"/>
  <c r="S67" i="5"/>
  <c r="B7" i="7"/>
  <c r="S203" i="5"/>
  <c r="B20" i="7"/>
  <c r="S101" i="5"/>
  <c r="B9" i="7"/>
  <c r="S209" i="5"/>
  <c r="B21" i="7"/>
  <c r="S127" i="5"/>
  <c r="B13" i="7"/>
  <c r="S34" i="5"/>
  <c r="B4" i="7"/>
  <c r="S63" i="5"/>
  <c r="B6" i="7"/>
  <c r="Q211" i="5"/>
  <c r="S211" i="5" s="1"/>
  <c r="S14" i="5"/>
  <c r="D9" i="7" l="1"/>
  <c r="G9" i="7"/>
  <c r="D4" i="7"/>
  <c r="G4" i="7"/>
  <c r="D5" i="7"/>
  <c r="G5" i="7"/>
  <c r="D10" i="7"/>
  <c r="G10" i="7"/>
  <c r="D6" i="7"/>
  <c r="D22" i="7" s="1"/>
  <c r="G6" i="7"/>
  <c r="D15" i="7"/>
  <c r="G15" i="7"/>
  <c r="D11" i="7"/>
  <c r="G11" i="7"/>
  <c r="D20" i="7"/>
  <c r="G20" i="7"/>
  <c r="D13" i="7"/>
  <c r="G13" i="7"/>
  <c r="G7" i="7"/>
  <c r="D7" i="7"/>
  <c r="D14" i="7"/>
  <c r="G14" i="7"/>
  <c r="B22" i="7"/>
  <c r="G22" i="7" s="1"/>
  <c r="D8" i="7"/>
  <c r="G8" i="7"/>
  <c r="D21" i="7"/>
  <c r="G21" i="7"/>
  <c r="D3" i="7"/>
  <c r="G3" i="7"/>
  <c r="J44" i="11"/>
  <c r="J30" i="11"/>
  <c r="H34" i="3"/>
  <c r="H20" i="3"/>
  <c r="K20" i="3"/>
  <c r="K34" i="3"/>
  <c r="I30" i="11"/>
  <c r="I44" i="11"/>
  <c r="L20" i="6"/>
  <c r="L34" i="6"/>
  <c r="I34" i="3"/>
  <c r="I20" i="3"/>
  <c r="I34" i="6"/>
  <c r="I20" i="6"/>
  <c r="L44" i="11"/>
  <c r="L30" i="11"/>
  <c r="J20" i="6"/>
  <c r="J3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C29" authorId="0" shapeId="0" xr:uid="{048D250F-5EB2-49EC-AE83-3121EB253CFD}">
      <text>
        <r>
          <rPr>
            <b/>
            <sz val="9"/>
            <color indexed="81"/>
            <rFont val="Tahoma"/>
            <family val="2"/>
            <charset val="204"/>
          </rPr>
          <t>Asus:</t>
        </r>
        <r>
          <rPr>
            <sz val="9"/>
            <color indexed="81"/>
            <rFont val="Tahoma"/>
            <family val="2"/>
            <charset val="204"/>
          </rPr>
          <t xml:space="preserve">
Бузилмайдиган объектлар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D29" authorId="0" shapeId="0" xr:uid="{DD7902A0-BF70-014A-87BD-849F1A854E4B}">
      <text>
        <r>
          <rPr>
            <b/>
            <sz val="9"/>
            <color indexed="81"/>
            <rFont val="Tahoma"/>
            <family val="2"/>
            <charset val="204"/>
          </rPr>
          <t>Asus:</t>
        </r>
        <r>
          <rPr>
            <sz val="9"/>
            <color indexed="81"/>
            <rFont val="Tahoma"/>
            <family val="2"/>
            <charset val="204"/>
          </rPr>
          <t xml:space="preserve">
Бузилмайдиган объектлар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D39" authorId="0" shapeId="0" xr:uid="{2F4FB508-CFE5-BE45-8183-FA960BAC91AB}">
      <text>
        <r>
          <rPr>
            <b/>
            <sz val="9"/>
            <color indexed="81"/>
            <rFont val="Tahoma"/>
            <family val="2"/>
            <charset val="204"/>
          </rPr>
          <t>Asus:</t>
        </r>
        <r>
          <rPr>
            <sz val="9"/>
            <color indexed="81"/>
            <rFont val="Tahoma"/>
            <family val="2"/>
            <charset val="204"/>
          </rPr>
          <t xml:space="preserve">
Бузилмайдиган объектлар</t>
        </r>
      </text>
    </comment>
  </commentList>
</comments>
</file>

<file path=xl/sharedStrings.xml><?xml version="1.0" encoding="utf-8"?>
<sst xmlns="http://schemas.openxmlformats.org/spreadsheetml/2006/main" count="2552" uniqueCount="645">
  <si>
    <t xml:space="preserve">Учтепа тумани Катта Чўпонота махалласидаги турар уй жойлар </t>
  </si>
  <si>
    <t>№</t>
  </si>
  <si>
    <t>К/р</t>
  </si>
  <si>
    <t xml:space="preserve">Мулкдор </t>
  </si>
  <si>
    <t>Кадастр рақами</t>
  </si>
  <si>
    <t xml:space="preserve">Кўча </t>
  </si>
  <si>
    <t>Уй рақами</t>
  </si>
  <si>
    <t>Хужжат бўйича Ер майдони, кв.м.</t>
  </si>
  <si>
    <t>Умумий ер майдони кв.м.</t>
  </si>
  <si>
    <t>Ўзбошимча ер майдони кв.м.</t>
  </si>
  <si>
    <t>Қурилиш оости майдони кв.м.</t>
  </si>
  <si>
    <t>Яшаш майдони кв.м.</t>
  </si>
  <si>
    <t>Хуқуқ тури</t>
  </si>
  <si>
    <t>Бино нархи      $ 300</t>
  </si>
  <si>
    <t>MERNIY ANATOLIY GRIGOREVICH</t>
  </si>
  <si>
    <t>10:01:06:01:02:5074</t>
  </si>
  <si>
    <t>Богистон</t>
  </si>
  <si>
    <t>Ҳадя шартномаси 20-331 08/05/03</t>
  </si>
  <si>
    <t>NASIROVA FOTIMA XAMIDULLAYEVNA</t>
  </si>
  <si>
    <t>10:01:06:01:02:5136</t>
  </si>
  <si>
    <t>Х Турсункулов</t>
  </si>
  <si>
    <t>Олди-сотди шартномаси 927 27/02/03</t>
  </si>
  <si>
    <t>Mannapov Ibroxim Abdunazarovich</t>
  </si>
  <si>
    <t xml:space="preserve">261а </t>
  </si>
  <si>
    <t>TULAGANOV AXMADJON TAGIROVICH</t>
  </si>
  <si>
    <t>10:01:06:01:02:5075</t>
  </si>
  <si>
    <t>Олди-сотди шартномаси 2,02102E+14 27/12/21</t>
  </si>
  <si>
    <t>YAFUNYAYEV MURAD FARIDOVICH</t>
  </si>
  <si>
    <t>10:01:06:01:02:5076</t>
  </si>
  <si>
    <t>Олди-сотди шартномаси 12-901 14/10/99</t>
  </si>
  <si>
    <t>KARIMOV FAXRIDDIN TULYAGANOVICH</t>
  </si>
  <si>
    <t>XUSNITDINOV TAXIRDJAN XUDAYBERGENOVICH</t>
  </si>
  <si>
    <t>10:01:06:01:02:5123</t>
  </si>
  <si>
    <t>Қонун бўйича ворислик ҳақида гувоҳнома 2-6149 04/12/90</t>
  </si>
  <si>
    <t>XUSNITDINOV DILSHOD TAXIRJANOVICH</t>
  </si>
  <si>
    <t>10:01:06:01:02:5123/01</t>
  </si>
  <si>
    <t xml:space="preserve">275б </t>
  </si>
  <si>
    <t>Ҳадя шартномаси 2,019E+14 02/07/19</t>
  </si>
  <si>
    <t>ACHILOVA GULBAXOR RIXSIYEVNA</t>
  </si>
  <si>
    <t>10:01:06:01:02:5078/01</t>
  </si>
  <si>
    <t xml:space="preserve">275г </t>
  </si>
  <si>
    <t>Ҳадя шартномаси 2,01901E+14 15/02/19</t>
  </si>
  <si>
    <t>XAITMUXAMEDOVA DILORAM TOXIRJONOVNA</t>
  </si>
  <si>
    <t>10:01:06:01:02:5154</t>
  </si>
  <si>
    <t xml:space="preserve">275в </t>
  </si>
  <si>
    <t>Ҳадя шартномаси 2,02002E+14 13/11/20</t>
  </si>
  <si>
    <t>KARIMOVA MALIKA TAXIRDJANOVNA</t>
  </si>
  <si>
    <t>10:01:06:01:02:5078</t>
  </si>
  <si>
    <t xml:space="preserve">275а </t>
  </si>
  <si>
    <t>XUDJAMURATOV ALISHER AVLAYEVICH</t>
  </si>
  <si>
    <t>10:01:06:01:02:5156</t>
  </si>
  <si>
    <t xml:space="preserve">275д </t>
  </si>
  <si>
    <t>Олди-сотди шартномаси 2,02002E+14 16/09/20</t>
  </si>
  <si>
    <t>XASHIMOV XABIBULLA XASANOVICH</t>
  </si>
  <si>
    <t>10:01:06:01:02:5079</t>
  </si>
  <si>
    <t xml:space="preserve">Ҳадя шартномаси Р-р1-2975 09.10.2003 </t>
  </si>
  <si>
    <t>XASHIMOV ABDURAXMON ABDUKASIMOVICH</t>
  </si>
  <si>
    <t>10:01:06:01:02:5144</t>
  </si>
  <si>
    <t xml:space="preserve">279а </t>
  </si>
  <si>
    <t>Ҳадя шартномаси 1-3869 13/10/16</t>
  </si>
  <si>
    <t>XASHIMOV MURAT XUSANOVICH</t>
  </si>
  <si>
    <t>10:01:06:01:02:5141</t>
  </si>
  <si>
    <t>Қонун бўйича ворислик ҳақида гувоҳнома 2,019E+14 16/09/19</t>
  </si>
  <si>
    <t>AXRAROV SANJAR YAXYAYEVICH</t>
  </si>
  <si>
    <t>10:01:06:01:02:5080</t>
  </si>
  <si>
    <t>Келишув битими 2,019E+14 06/08/19</t>
  </si>
  <si>
    <t>XALILOV ABDUSAMAT ABDUJALILOVICH</t>
  </si>
  <si>
    <t>10:01:06:01:02:5132</t>
  </si>
  <si>
    <t xml:space="preserve">283а </t>
  </si>
  <si>
    <t>Васиятнома бўйича меросга бўлган ҳуқуқ ҳақидаги гувоҳномаси 1-441 16/02/17</t>
  </si>
  <si>
    <t>XALILOV ABDUSATTOR ABDUJALILOVICH</t>
  </si>
  <si>
    <t>10:01:06:01:02:5081</t>
  </si>
  <si>
    <t>Қонун бўйича ворислик ҳақида гувоҳнома 1-439 16/02/17</t>
  </si>
  <si>
    <t>BIRYUKOVA ROZA GLIMYANOVNA</t>
  </si>
  <si>
    <t>10:01:06:01:02:5135</t>
  </si>
  <si>
    <t xml:space="preserve">Фозилтепа </t>
  </si>
  <si>
    <t>қарори 227 28/03/18</t>
  </si>
  <si>
    <t>ASAMOVA NOZIMA AKMALOVNA</t>
  </si>
  <si>
    <t>10:01:06:01:02:5073</t>
  </si>
  <si>
    <t>Боғобод</t>
  </si>
  <si>
    <t>ASAMOVA NAILYA NASIROVNA</t>
  </si>
  <si>
    <t>10:01:06:01:02:5161</t>
  </si>
  <si>
    <t>180а</t>
  </si>
  <si>
    <t>Жами:</t>
  </si>
  <si>
    <t>XAMEDOV ZAFAR IRGASHEVICH</t>
  </si>
  <si>
    <t>10:01:06:01:02:5150</t>
  </si>
  <si>
    <t>75а</t>
  </si>
  <si>
    <t>қарори 327 29/11/18</t>
  </si>
  <si>
    <t>XODJAYEV MURODJON KARIMBERDIYEVICH</t>
  </si>
  <si>
    <t>10:01:06:01:02:5139</t>
  </si>
  <si>
    <t>Олди-сотди шартномаси 2,02002E+14 22/05/20</t>
  </si>
  <si>
    <t>SHERXANOV SHAHZOD RAVSHAN O‘G‘LI</t>
  </si>
  <si>
    <t>10:01:06:01:02:5052</t>
  </si>
  <si>
    <t>Олди-сотди шартномаси 2,019E+14 27/12/19</t>
  </si>
  <si>
    <t>RASHIDOV ZIYOVIDDIN NAIMOVICH</t>
  </si>
  <si>
    <t>10:01:06:01:02:5039</t>
  </si>
  <si>
    <t>Қонун бўйича ворислик ҳақида гувоҳнома 2,02202E+14 17/02/22</t>
  </si>
  <si>
    <t>ATABAYEVA DILORAM IRGASHEVNA</t>
  </si>
  <si>
    <t>10:01:06:01:02:5059</t>
  </si>
  <si>
    <t>Ҳадя шартномаси 10-201 23/05/07</t>
  </si>
  <si>
    <t>XAMEDOV RAVSHAN IRGASHEVICH</t>
  </si>
  <si>
    <t>10:01:06:01:02:5060</t>
  </si>
  <si>
    <t>қарори 80 26/02/10</t>
  </si>
  <si>
    <t>MUMINOV ISMATULLA MOVLANOVICH</t>
  </si>
  <si>
    <t>10:01:06:02:02:5099</t>
  </si>
  <si>
    <t>61б</t>
  </si>
  <si>
    <t>Олди-сотди шартномаси 21-1246 30/06/00</t>
  </si>
  <si>
    <t>ABDUVAXIDOVA MUXAYO ABDUVALIYEVNA</t>
  </si>
  <si>
    <t>10:01:06:01:02:5055</t>
  </si>
  <si>
    <t>Қонун бўйича ворислик ҳақида гувоҳнома 1-2337 25/06/18</t>
  </si>
  <si>
    <t>10:01:06:01:02:5061</t>
  </si>
  <si>
    <t>қарори 79 сонли 26/02/10</t>
  </si>
  <si>
    <t>KUSHAKOV ARTIK AXMADJANOVICH</t>
  </si>
  <si>
    <t>10:01:06:01:02:5051</t>
  </si>
  <si>
    <t>Олди-сотди шартномаси 1-299  10/01/00</t>
  </si>
  <si>
    <t>AXUNDJANOVA NILUFAR MAXMUDJANOVNA</t>
  </si>
  <si>
    <t>10:01:06:01:02:5128</t>
  </si>
  <si>
    <t>Олди-сотди шартномаси 2,02202E+14 04/10/22</t>
  </si>
  <si>
    <t>UMAROV ABDURASHID UKTAMOVICH</t>
  </si>
  <si>
    <t>10:01:06:01:02:5049</t>
  </si>
  <si>
    <t>Ҳадя шартномаси 1990 01/04/00</t>
  </si>
  <si>
    <t>UMAROV MUMIN UKTAMOVICH</t>
  </si>
  <si>
    <t>10:01:06:01:02:5134</t>
  </si>
  <si>
    <t>қарори 612 05/10/18</t>
  </si>
  <si>
    <t>ILXAMOV IKRAM XXX</t>
  </si>
  <si>
    <t>10:01:06:01:02:5147</t>
  </si>
  <si>
    <t>қарори 380/11 15/10/91</t>
  </si>
  <si>
    <t>MUSAYEV RIXSIBAY XODJIAKBAROVICH</t>
  </si>
  <si>
    <t>10:01:06:01:02:5083</t>
  </si>
  <si>
    <t>Богистон, туп 5</t>
  </si>
  <si>
    <t>Учтепа  тумани ҳокимининг қарори 1179 10/08/99</t>
  </si>
  <si>
    <t>KAMILOV ANVAR AZIMOVICH</t>
  </si>
  <si>
    <t>10:01:06:01:02:5047</t>
  </si>
  <si>
    <t>Учтепа  тумани ҳокимининг қарори 273 01/06/09</t>
  </si>
  <si>
    <t>ISMAILOVA MAMURA RIXSIYEVNA</t>
  </si>
  <si>
    <t>10:01:06:01:02:5105</t>
  </si>
  <si>
    <t>Курилиш шартномаси 1357 р-12-1762 28/04/92</t>
  </si>
  <si>
    <t>USMANOVA MUKARRAM RAXMATOVNA</t>
  </si>
  <si>
    <t>10:01:06:01:02:5064</t>
  </si>
  <si>
    <t>қарори 1025 30/04/19</t>
  </si>
  <si>
    <t>ZUPAROV RUSTAM VAXITOVICH</t>
  </si>
  <si>
    <t>10:01:06:01:02:5042</t>
  </si>
  <si>
    <t>қарори 20/08/98</t>
  </si>
  <si>
    <t>RAXIMOV ALISHER XABIBULLAYEVICH</t>
  </si>
  <si>
    <t>10:01:06:01:02:5114</t>
  </si>
  <si>
    <t>Қонун бўйича ворислик ҳақида гувоҳнома 2,02202E+14 21/10/22</t>
  </si>
  <si>
    <t>ISMAILOV JAMSHID DJALALOVICH</t>
  </si>
  <si>
    <t>10:01:06:01:02:5159</t>
  </si>
  <si>
    <t>51а</t>
  </si>
  <si>
    <t>қарори 421 22/06/18</t>
  </si>
  <si>
    <t>AXMEDOV ASKAR AKBAROVICH</t>
  </si>
  <si>
    <t>10:01:06:01:02:5058</t>
  </si>
  <si>
    <t>Ш.Хоким карори N935.</t>
  </si>
  <si>
    <t>BAKIYEV ALIM SABITOVICH</t>
  </si>
  <si>
    <t>10:01:06:01:02:5038</t>
  </si>
  <si>
    <t>Ш.Хоким карори N18 0</t>
  </si>
  <si>
    <t>UMAROV KADIR UKTAMOVICH</t>
  </si>
  <si>
    <t>10:01:06:01:02:5016</t>
  </si>
  <si>
    <t>қарори 11-3/2 23/01/92</t>
  </si>
  <si>
    <t>AXMEDOV SHERZOD ERGASHBAYEVICH</t>
  </si>
  <si>
    <t>10:01:06:01:02:5056</t>
  </si>
  <si>
    <t>Олди-сотди шартномаси 2-5098 06/11/07</t>
  </si>
  <si>
    <t>UMAROVA DILDORA GULYAMNAZAROVNA</t>
  </si>
  <si>
    <t>10:01:06:01:02:5149</t>
  </si>
  <si>
    <t>66а</t>
  </si>
  <si>
    <t>қарори 1019 28/12/18</t>
  </si>
  <si>
    <t>UMAROV ABDUSAID UKTAMOVICH</t>
  </si>
  <si>
    <t>10:01:06:01:02:5054</t>
  </si>
  <si>
    <t>60а</t>
  </si>
  <si>
    <t>Қонун бўйича меросга бўлган ҳуқуқ ҳақида гувоҳнома 2,02E+14 11/03/20</t>
  </si>
  <si>
    <t>MAMAJONOV XASAN IKROMOVICH</t>
  </si>
  <si>
    <t>10:01:07:01:01:5472</t>
  </si>
  <si>
    <t>14а</t>
  </si>
  <si>
    <t>Олди-сотди шартномаси 2,02102E+14 30/11/21</t>
  </si>
  <si>
    <t>AZIMOV JAXONGIR ZAXIDOVICH</t>
  </si>
  <si>
    <t>10:01:07:01:01:5141</t>
  </si>
  <si>
    <t>Қонун бўйича ворислик ҳақида гувоҳнома 30-1706 27/12/06</t>
  </si>
  <si>
    <t>UMAROV ABDURASUL UKTAMOVICH</t>
  </si>
  <si>
    <t>10:01:06:01:02:5063</t>
  </si>
  <si>
    <t>AZIMOV SATTAR XXX</t>
  </si>
  <si>
    <t>10:01:06:01:02:5014</t>
  </si>
  <si>
    <t>фармойиши 255 р-р 02/06/92</t>
  </si>
  <si>
    <t>AZIMOV SHUXRAT GAPPAROVICH</t>
  </si>
  <si>
    <t>10:01:06:01:02:5048</t>
  </si>
  <si>
    <t>Ҳадя шартномаси Р-р1-629 12/01/05</t>
  </si>
  <si>
    <t>XODJAYEV FAZLITDIN ZAYNITDINOVICH</t>
  </si>
  <si>
    <t>10:01:06:01:02:5015</t>
  </si>
  <si>
    <t>Олди-сотди шартномаси 2,02202E+14 30/03/22</t>
  </si>
  <si>
    <t>AKBAROVA MIXAYYO XXX</t>
  </si>
  <si>
    <t>10:01:06:01:02:5006</t>
  </si>
  <si>
    <t>Қонун бўйича ворислик ҳақида гувоҳнома 38-804 28/06/10</t>
  </si>
  <si>
    <t>XAMDAMOV AKMAL ATXAMOVICH</t>
  </si>
  <si>
    <t>10:01:06:01:02:5007</t>
  </si>
  <si>
    <t>Қонун бўйича ворислик ҳақида гувоҳнома 2,019E+14 12/10/19</t>
  </si>
  <si>
    <t>AZIMOV BAXODIR SHUKUROVICH</t>
  </si>
  <si>
    <t>10:01:06:01:02:5057</t>
  </si>
  <si>
    <t>қарори 314/26 26/12/91</t>
  </si>
  <si>
    <t>AZIMOV SHUXRAT SHUKUROVICH</t>
  </si>
  <si>
    <t>10:01:06:01:02:5012/01</t>
  </si>
  <si>
    <t>46а</t>
  </si>
  <si>
    <t>Қонун бўйича ворислик ҳақида гувоҳнома 2-2477 25/09/16</t>
  </si>
  <si>
    <t>YAKUBOVA MA’FURA SHUKUROVNA</t>
  </si>
  <si>
    <t>10:01:06:01:02:5011</t>
  </si>
  <si>
    <t>AZIMOV RAXMAT SHUKUROVICH</t>
  </si>
  <si>
    <t>10:01:06:01:02:5012</t>
  </si>
  <si>
    <t>XAMDAMOV ALIDJAN ANVAROVICH</t>
  </si>
  <si>
    <t>10:01:06:01:02:5152</t>
  </si>
  <si>
    <t>қарори 1415 10/05/19</t>
  </si>
  <si>
    <t>ABDURASULOV FAXRIDDIN ABDUSAMATOVICH</t>
  </si>
  <si>
    <t>10:01:06:01:02:5155</t>
  </si>
  <si>
    <t>72а</t>
  </si>
  <si>
    <t>қарори 2388 02/08/19</t>
  </si>
  <si>
    <t>XODJAYEVA MAYSURA RAXMATOVNA</t>
  </si>
  <si>
    <t>10:01:06:01:02:5033</t>
  </si>
  <si>
    <t>Қонун бўйича ворислик ҳақида гувоҳнома 2,02102E+14 07/12/21</t>
  </si>
  <si>
    <t>MURATOV KARIM TURAYEVICH</t>
  </si>
  <si>
    <t>10:01:06:01:02:5022/01</t>
  </si>
  <si>
    <t>35а</t>
  </si>
  <si>
    <t>Ҳадя шартномаси 2-3060 03/11/18</t>
  </si>
  <si>
    <t>MURATOV KOMILJON TURAYEVICH</t>
  </si>
  <si>
    <t>10:01:06:01:02:5022</t>
  </si>
  <si>
    <t>MURATOVA ASALAT GULAMKADIROVNA</t>
  </si>
  <si>
    <t>10:01:06:02:02:5198</t>
  </si>
  <si>
    <t>Олди-сотди шартномаси 7831 20/12/03</t>
  </si>
  <si>
    <t>USMANBEKOVA MUKADDAS PULATOVNA</t>
  </si>
  <si>
    <t>10:01:06:01:02:5099</t>
  </si>
  <si>
    <t>27а</t>
  </si>
  <si>
    <t>Ҳадя шартномаси 2,02102E+14 18/10/21</t>
  </si>
  <si>
    <t>NASRITDINOV ZIYOVIDDIN XAYRITDINOVICH</t>
  </si>
  <si>
    <t>10:01:06:01:02:5098</t>
  </si>
  <si>
    <t>23а</t>
  </si>
  <si>
    <t>Олди-сотди шартномаси 2,02102E+14 03/07/21</t>
  </si>
  <si>
    <t>BAKIYEV SADIQ VASIKOVICH</t>
  </si>
  <si>
    <t>10:01:06:01:02:5023</t>
  </si>
  <si>
    <t xml:space="preserve"> Қонун бўйича меросга бўлган ҳуқуқ ҳақида гувоҳнома 2472 29/05/18</t>
  </si>
  <si>
    <t>10:01:06:01:02:5082</t>
  </si>
  <si>
    <t>Ҳадя шартномаси 1-5075 06/09/12</t>
  </si>
  <si>
    <t>RAXIMOV AXMAD MAXMUTOVICH</t>
  </si>
  <si>
    <t>10:01:06:01:02:5021</t>
  </si>
  <si>
    <t>Богистон, туп. 3</t>
  </si>
  <si>
    <t>Васиятнома бўйича меросга бўлган ҳуқуқ ҳақидаги гувоҳномаси 1-281 08/02/17</t>
  </si>
  <si>
    <t>YAKUBDJANOVA OZODAGUL DJARKINOVNA</t>
  </si>
  <si>
    <t>10:01:06:01:02:5117</t>
  </si>
  <si>
    <t>Олди-сотди шартномаси р-р№ 2-231 24/01/13</t>
  </si>
  <si>
    <t>BAKIYEV OMON SABITOVICH</t>
  </si>
  <si>
    <t>10:01:06:01:02:5143</t>
  </si>
  <si>
    <t>29а</t>
  </si>
  <si>
    <t>Ҳадя шартномаси 2-3210 10/12/17</t>
  </si>
  <si>
    <t>BAKIYEV ARIP SABITOVICH</t>
  </si>
  <si>
    <t>10:01:06:01:02:5027</t>
  </si>
  <si>
    <t>USMANBEKOV YUSUP BAXRAMOVICH</t>
  </si>
  <si>
    <t>10:01:06:01:02:5025</t>
  </si>
  <si>
    <t>Олди-сотди шартномаси 1061 08/04/05</t>
  </si>
  <si>
    <t>KARIMOVA SHAXIDA DALIYEVNA</t>
  </si>
  <si>
    <t>10:01:06:01:02:5142</t>
  </si>
  <si>
    <t>қарори 1185 29/12/17</t>
  </si>
  <si>
    <t>10:01:06:01:02:5026</t>
  </si>
  <si>
    <t>Қонун бўйича ворислик ҳақида гувоҳнома 2-1135 19/04/17</t>
  </si>
  <si>
    <t>ISMATULLAYEV XAYRULLA NASIROVICH</t>
  </si>
  <si>
    <t>10:01:06:01:02:5068</t>
  </si>
  <si>
    <t>Олди-сотди шартномаси 2,02102E+14 18/01/21</t>
  </si>
  <si>
    <t>ARTIKOVA GULCHEXRA MANSUROVNA</t>
  </si>
  <si>
    <t>10:01:06:02:02:5104</t>
  </si>
  <si>
    <t>Олди-сотди шартномаси 7275 09/11/05</t>
  </si>
  <si>
    <t>ABDUVAXIDOV PAZIL TURSUNOVICH</t>
  </si>
  <si>
    <t>10:01:06:01:02:5018</t>
  </si>
  <si>
    <t>19-(26)</t>
  </si>
  <si>
    <t>қарори 267 28/04/14</t>
  </si>
  <si>
    <t>ABDUVAXIDOV MANNOB TURSUNOVICH</t>
  </si>
  <si>
    <t>10:01:06:01:02:5029</t>
  </si>
  <si>
    <t>Қонун бўйича ворислик ҳақида гувоҳнома 1-6441 11/12/12</t>
  </si>
  <si>
    <t>ABDUVAXIDOV MAXAMAT TURSUNOVICH</t>
  </si>
  <si>
    <t>10:01:06:01:02:5029/01</t>
  </si>
  <si>
    <t>111а</t>
  </si>
  <si>
    <t>Қонун бўйича ворислик ҳақида гувоҳнома 1-6441 сонли 11/12/12</t>
  </si>
  <si>
    <t>XAMIDOV KAMIL DJURAYEVICH</t>
  </si>
  <si>
    <t>10:01:06:01:02:5121</t>
  </si>
  <si>
    <t>Богистон, проезд 5</t>
  </si>
  <si>
    <t>Олди-сотди шартномаси 576 01/03/00</t>
  </si>
  <si>
    <t>ILXAMOVA SHOIRA IKRAMOVNA</t>
  </si>
  <si>
    <t>10:01:06:01:02:5040</t>
  </si>
  <si>
    <t>Васиятнома бўйича меросга бўлган ҳуқуқ ҳақидаги гувоҳномаси 2,02102E+14 06/07/21</t>
  </si>
  <si>
    <t>ILXAMOV ATXAM AKRAMOVICH</t>
  </si>
  <si>
    <t>10:01:06:01:02:5041</t>
  </si>
  <si>
    <t>фармойиши 336 р 22/06/92</t>
  </si>
  <si>
    <t>Yakubova Diyora Murat qizi</t>
  </si>
  <si>
    <t>10:01:06:01:02:5069</t>
  </si>
  <si>
    <t>Олди-сотди шартномаси 2-2718 28/07/16</t>
  </si>
  <si>
    <t>XAMIDOV KOZIM DJURAYEVICH</t>
  </si>
  <si>
    <t>10:01:06:01:02:5115</t>
  </si>
  <si>
    <t>Ҳадя шартномаси 1-4258 03/12/15</t>
  </si>
  <si>
    <t>MUMINOV SAGDULLA MOVLANOVICH</t>
  </si>
  <si>
    <t>10:01:06:01:02:5036</t>
  </si>
  <si>
    <t>ул. Богистон, дом</t>
  </si>
  <si>
    <t xml:space="preserve"> туман ижроия қўмитаси қарори 11-3/2 23/01/92</t>
  </si>
  <si>
    <t>MIRXADIYEV SHERZOD MIRAXMADOVICH</t>
  </si>
  <si>
    <t>10:01:06:01:02:5037/01</t>
  </si>
  <si>
    <t>40а</t>
  </si>
  <si>
    <t>Олди-сотди шартномаси 7253 11/12/07</t>
  </si>
  <si>
    <t>YAKUBDJANOVA MOXIRA MELSOVNA</t>
  </si>
  <si>
    <t>10:01:06:01:02:5037</t>
  </si>
  <si>
    <t>Олди-сотди шартномаси 15-576 11/06/10</t>
  </si>
  <si>
    <t>10:01:06:01:02:5005</t>
  </si>
  <si>
    <t>Богистон, проезд 2</t>
  </si>
  <si>
    <t>Курилиш шартномаси 1326  Р№10-139 15/01/92</t>
  </si>
  <si>
    <t>XODIYEV RAXMAT MAXKAMOVICH</t>
  </si>
  <si>
    <t>10:01:06:01:02:5120</t>
  </si>
  <si>
    <t>YAKUBOV SAMUK NABIYEVICH</t>
  </si>
  <si>
    <t>10:01:06:01:02:5028</t>
  </si>
  <si>
    <t>Қонун бўйича ворислик ҳақида гувоҳнома 8-532 30/01/06</t>
  </si>
  <si>
    <t>10:01:06:01:02:5101</t>
  </si>
  <si>
    <t>YAKUBOV SHOKIRJON SAMUKOVICH</t>
  </si>
  <si>
    <t>10:01:06:01:02:5101/01</t>
  </si>
  <si>
    <t>105а</t>
  </si>
  <si>
    <t>Ҳадя шартномаси 2,019E+14 21/01/19</t>
  </si>
  <si>
    <t>BABAJANOV BEHZOD POLVANNAZIROVICH</t>
  </si>
  <si>
    <t>10:01:06:01:02:5003</t>
  </si>
  <si>
    <t>Олди-сотди шартномаси 2,02102E+14 16/12/21</t>
  </si>
  <si>
    <t>10:01:06:01:02:5001</t>
  </si>
  <si>
    <t>Олди-сотди шартномаси 4710 07/09/18</t>
  </si>
  <si>
    <t>BAKAYEVA XODJINISA NABIYEVNA</t>
  </si>
  <si>
    <t>10:01:06:01:02:5002</t>
  </si>
  <si>
    <t>Курилиш шартномаси 1336р9-232 19/02/92</t>
  </si>
  <si>
    <t>ACHILOV ABDURASHID RIXSIVAYEVICH</t>
  </si>
  <si>
    <t>10:01:06:01:02:5095</t>
  </si>
  <si>
    <t>Васиятнома бўйича ворислик ҳақида гувоҳномаси 1-1714  30/04/12</t>
  </si>
  <si>
    <t>Ачилов Абдурахман</t>
  </si>
  <si>
    <t>10:01:06:01:02:5138</t>
  </si>
  <si>
    <t>38 (34)</t>
  </si>
  <si>
    <t>а карори.277-1-23.14</t>
  </si>
  <si>
    <t>KADIROV RUSTAM SULTANOVICH</t>
  </si>
  <si>
    <t>10:01:06:01:02:5160</t>
  </si>
  <si>
    <t>7а</t>
  </si>
  <si>
    <t>Олди-сотди шартномаси 2,02102E+14 15/10/21</t>
  </si>
  <si>
    <t>ZAYNIDDINOVA MUNIRA TURSUNOVNA</t>
  </si>
  <si>
    <t>10:01:06:01:02:5110</t>
  </si>
  <si>
    <t>Ҳадя шартномаси  1-4271 25/07/17</t>
  </si>
  <si>
    <t>YAKUBDJANOV UBAYDULLA VALIYEVICH</t>
  </si>
  <si>
    <t>10:01:06:01:02:5030</t>
  </si>
  <si>
    <t>қарори 258-1/21 сонли 10/10/91</t>
  </si>
  <si>
    <t>VAHOBOV ABDUJABBOR HIKMATILLA O‘G‘LI</t>
  </si>
  <si>
    <t>10:01:06:01:02:5031</t>
  </si>
  <si>
    <t>32а</t>
  </si>
  <si>
    <t>Ҳадя шартномаси 1-512 22/02/17</t>
  </si>
  <si>
    <t>ASAMUTDINOV BAXTIYOR KOMILOVICH</t>
  </si>
  <si>
    <t>10:01:07:01:01:5168</t>
  </si>
  <si>
    <t>Қонун бўйича ворислик ҳақида гувоҳнома 1-2024 19/04/13</t>
  </si>
  <si>
    <t>TUXTAYEVA MAVLYUDA BAXROMOVNA</t>
  </si>
  <si>
    <t>10:01:06:01:02:5008</t>
  </si>
  <si>
    <t>Қонун бўйича ворислик ҳақида гувоҳнома 1-792 02/03/18</t>
  </si>
  <si>
    <t>YUSUPOV AKRAM NEMATJANOVICH</t>
  </si>
  <si>
    <t>10:01:07:01:01:5443</t>
  </si>
  <si>
    <t>11а</t>
  </si>
  <si>
    <t>Олди-сотди шартномаси 1-3056 19/06/13</t>
  </si>
  <si>
    <t>JURAYEVA UMIDA ARIPJANOVNA</t>
  </si>
  <si>
    <t>10:01:06:01:02:5020</t>
  </si>
  <si>
    <t>Ҳадя шартномаси 1717 21/11/06</t>
  </si>
  <si>
    <t>TURSUNOVA ZULXUMOR ZARIPBAYEVNA</t>
  </si>
  <si>
    <t>10:01:06:01:02:5127</t>
  </si>
  <si>
    <t>22а</t>
  </si>
  <si>
    <t>Олди-сотди шартномаси 1-300 сонли 27/01/15</t>
  </si>
  <si>
    <t>TURAPOVA OLTINOY TESHAYEVNA</t>
  </si>
  <si>
    <t>10:01:06:01:02:5013/01</t>
  </si>
  <si>
    <t>Богистон, проезд 1</t>
  </si>
  <si>
    <t>18а</t>
  </si>
  <si>
    <t>Ҳадя шартномаси 3551 26/08/18</t>
  </si>
  <si>
    <t>TOXTAYEV BATIR TESHAYEVICH</t>
  </si>
  <si>
    <t>10:01:06:01:02:5013</t>
  </si>
  <si>
    <t>Курилиш шартномаси 1335р9-291 11/02/92</t>
  </si>
  <si>
    <t>NARBAYEV SHOVKAT URALOVICH</t>
  </si>
  <si>
    <t>10:01:06:01:02:5126</t>
  </si>
  <si>
    <t>Олди-сотди шартномаси 2,02102E+1424/06/21</t>
  </si>
  <si>
    <t>ASAMOVA MUNIRA SAYFITDINOVNA</t>
  </si>
  <si>
    <t>10:01:06:01:02:5151</t>
  </si>
  <si>
    <t>24а</t>
  </si>
  <si>
    <t>Олди-сотди шартномаси 2-4107 03/08/13</t>
  </si>
  <si>
    <t>AXMEDOVA AZIZA ISMAILOVNA</t>
  </si>
  <si>
    <t>10:01:06:01:02:5024</t>
  </si>
  <si>
    <t>Қонун бўйича меросга бўлган ҳуқуқ ҳақида гувоҳнома 2-3953 11/11/15</t>
  </si>
  <si>
    <t>SHAKIROV KADIR XXX</t>
  </si>
  <si>
    <t>10:01:06:01:02:5043</t>
  </si>
  <si>
    <t>қарори 11/3-2 23/01/92</t>
  </si>
  <si>
    <t>SHAKIROV ALIM TAXIROVICH</t>
  </si>
  <si>
    <t>10:01:06:01:02:5009</t>
  </si>
  <si>
    <t>Айрибошлаш шартномаси 2-4693 17/08/94</t>
  </si>
  <si>
    <t>XAYDAROV MALIK VASIKOVICH</t>
  </si>
  <si>
    <t>10:01:07:01:01:5304</t>
  </si>
  <si>
    <t>Қонун бўйича меросга бўлган ҳуқуқ ҳақида гувоҳнома 2,02002E+14 18/12/20</t>
  </si>
  <si>
    <t>SAIDMURADOVA DILOROM KABILOVNA</t>
  </si>
  <si>
    <t>10:01:07:01:01:5173</t>
  </si>
  <si>
    <t>SAIDMURADOVA NASIBA IBRAGIMOVNA</t>
  </si>
  <si>
    <t>10:01:07:01:01:5453</t>
  </si>
  <si>
    <t>47б</t>
  </si>
  <si>
    <t>Ҳадя шартномаси 2,01901E+14 17/05/19</t>
  </si>
  <si>
    <t>SAIDMURATOV XUSAN XUSANOVICH</t>
  </si>
  <si>
    <t>10:01:06:01:02:5148</t>
  </si>
  <si>
    <t>30б</t>
  </si>
  <si>
    <t>Қонун бўйича меросга бўлган ҳуқуқ ҳақида гувоҳнома 4524 27/11/18</t>
  </si>
  <si>
    <t>SHAKIROV AZIZ ABDUSATTAROVICH</t>
  </si>
  <si>
    <t>10:01:06:01:02:5044</t>
  </si>
  <si>
    <t>SHAKIROV AVAZ SATTAROVICH</t>
  </si>
  <si>
    <t>10:01:06:01:02:5045</t>
  </si>
  <si>
    <t>қарори 907 16/12/94</t>
  </si>
  <si>
    <t>SHAKIROV ERKIN TAXIROVICH</t>
  </si>
  <si>
    <t>10:01:06:01:02:5053</t>
  </si>
  <si>
    <t>Олди-сотди шартномаси 25-549 27/05/98</t>
  </si>
  <si>
    <t>ARIFOVA GULMIRA ABDULLAYEVNA</t>
  </si>
  <si>
    <t>10:01:06:01:02:5046</t>
  </si>
  <si>
    <t>Ҳадя шартномаси 374 01/05/10</t>
  </si>
  <si>
    <t>ARIFOV XAMIDULLA AXMEDOVICH</t>
  </si>
  <si>
    <t>10:01:06:01:02:5071</t>
  </si>
  <si>
    <t>SHAKIROV SHUXRAT KADIROVICH</t>
  </si>
  <si>
    <t>10:01:07:01:01:5360</t>
  </si>
  <si>
    <t>Учтепа  тумани ҳокимининг қарори № 215 06/03/98</t>
  </si>
  <si>
    <t>Хайдаров Абдували Васикович</t>
  </si>
  <si>
    <t>10:01:07:01:01:5449</t>
  </si>
  <si>
    <t>47а</t>
  </si>
  <si>
    <t>Курилиш шартномаси 1415 Р-р1-3282 10/07/93</t>
  </si>
  <si>
    <t>AZIMOV DILSHOD SHUKUROVICH</t>
  </si>
  <si>
    <t>10:01:06:01:02:5062</t>
  </si>
  <si>
    <t>О/С шарт.Р-р8-3719.2</t>
  </si>
  <si>
    <t>ABDULLAYEVA MAXMUDA GAPPAROVNA</t>
  </si>
  <si>
    <t>10:01:06:01:02:5067</t>
  </si>
  <si>
    <t>Олди-сотди шартномаси 12-1595 23/04/92</t>
  </si>
  <si>
    <t>Умаров Алишер Уктамович</t>
  </si>
  <si>
    <t>10:01:06:02:02:5150</t>
  </si>
  <si>
    <t>Курилиш шартномаси 1352 р2-1733 14/04/92</t>
  </si>
  <si>
    <t>GULAMOV MAXAMADRASUL MAXAMADJANOVICH</t>
  </si>
  <si>
    <t>10:01:06:01:02:5065</t>
  </si>
  <si>
    <t>86а</t>
  </si>
  <si>
    <t>О/С шарт.Р-р1-14523 28/07/05</t>
  </si>
  <si>
    <t>XAMDAMOV SHOVKAT ANVAROVICH</t>
  </si>
  <si>
    <t>10:01:06:01:02:5104</t>
  </si>
  <si>
    <t>қарори 1988 24/07/19</t>
  </si>
  <si>
    <t>XAMDAMOV SHUXRAT SHOVKATOVICH</t>
  </si>
  <si>
    <t>10:01:06:01:02:5125</t>
  </si>
  <si>
    <t>86б</t>
  </si>
  <si>
    <t>Олди-сотди шартномаси 1-641 16/02/15</t>
  </si>
  <si>
    <t>ACHILOV ABDUAZIZ ABDURAXMANOVICH</t>
  </si>
  <si>
    <t>10:01:06:01:02:5066</t>
  </si>
  <si>
    <t>Олди-сотди шартномаси 1195 11/04/01</t>
  </si>
  <si>
    <t>XAMDAMOV ATXAM XXX</t>
  </si>
  <si>
    <t>10:01:06:01:02:5118</t>
  </si>
  <si>
    <t>90а</t>
  </si>
  <si>
    <t>Курилиш шартномаси №1561 р-р 25-603 27/08/95</t>
  </si>
  <si>
    <t>AZIMOV KAMILJON SATTAROVICH</t>
  </si>
  <si>
    <t>10:01:06:01:02:5146</t>
  </si>
  <si>
    <t>UMAROVA MASHKURA USMANOVNA</t>
  </si>
  <si>
    <t>10:01:06:02:02:5155</t>
  </si>
  <si>
    <t>Олди-сотди шартномаси 2-15 06/01/95</t>
  </si>
  <si>
    <t>UMAROV BAXTIYAR UKTAMOVICH</t>
  </si>
  <si>
    <t>10:01:06:02:02:5212</t>
  </si>
  <si>
    <t xml:space="preserve"> Ҳадя шартномаси 15-1063 16/12/98</t>
  </si>
  <si>
    <t>UMAROV BAXODIR UKTAMOVICH</t>
  </si>
  <si>
    <t>10:01:06:02:02:5156</t>
  </si>
  <si>
    <t>Курилиш шартномаси 1350 р-р2-1736 08/04/92</t>
  </si>
  <si>
    <t>UMAROV RUSTAM UKTAMOVICH</t>
  </si>
  <si>
    <t>10:01:06:01:02:5116</t>
  </si>
  <si>
    <t>Тошкент шаҳар ҳокимининг қарори 380/11 15/10/91</t>
  </si>
  <si>
    <t>UMAROV ULUGBEK UKTAMOVICH</t>
  </si>
  <si>
    <t>10:01:06:01:02:5158</t>
  </si>
  <si>
    <t>қарори 2262 02/08/19</t>
  </si>
  <si>
    <t>NURITDINOV KAMAL SALAXITDINOVICH</t>
  </si>
  <si>
    <t>10:01:06:01:02:5070</t>
  </si>
  <si>
    <t>Курилиш шартномаси 1367р-р4-3522 02/06/92</t>
  </si>
  <si>
    <t>XAKIMOV ABDUMUTAL RASHIDOVICH</t>
  </si>
  <si>
    <t>10:01:06:01:02:5072</t>
  </si>
  <si>
    <t>Курилиш шартномаси 1369   р-р № 10-2609 02/06/92</t>
  </si>
  <si>
    <t>XAKIMOV JAVLONBEK ABDUMUTALOVICH</t>
  </si>
  <si>
    <t>10:01:06:01:02:5103</t>
  </si>
  <si>
    <t>Ҳадя шартномаси 3173 23/06/09</t>
  </si>
  <si>
    <t>KUSHAKOV LUTFULLA FAYZULLAYEVICH</t>
  </si>
  <si>
    <t>10:01:06:01:02:5096</t>
  </si>
  <si>
    <t>Ҳадя шартномаси 2,02102E+14 19/10/21</t>
  </si>
  <si>
    <t>ADILOV KOMAL KOBILOVICH</t>
  </si>
  <si>
    <t>10:01:06:01:02:5094</t>
  </si>
  <si>
    <t>қарори 434 26/09/08</t>
  </si>
  <si>
    <t>ADILOV MAMURJAN KABILOVICH</t>
  </si>
  <si>
    <t>10:01:06:01:02:5097</t>
  </si>
  <si>
    <t>Учтепа  тумани ҳокимининг қарори 275 01/06/09</t>
  </si>
  <si>
    <t>ADILOV MELS KABILOVICH</t>
  </si>
  <si>
    <t>10:01:06:01:02:5004</t>
  </si>
  <si>
    <t>қарори 794 15/07/03</t>
  </si>
  <si>
    <t>ADILOV MAXAMATJAN KABILOVICH</t>
  </si>
  <si>
    <t>10:01:06:01:02:5137/01</t>
  </si>
  <si>
    <t>114а</t>
  </si>
  <si>
    <t>Ҳадя шартномаси 15-347 27/04/06</t>
  </si>
  <si>
    <t>QOBILOV SARDORJON SOBIT O‘G‘LI</t>
  </si>
  <si>
    <t>10:01:06:01:02:5137</t>
  </si>
  <si>
    <t>Қонун бўйича меросга бўлган ҳуқуқ ҳақида гувоҳнома 2,02303E+14 23/02/23</t>
  </si>
  <si>
    <t>ZIYAMUXAMEDOV SHUKRULLA ZAKIROVICH</t>
  </si>
  <si>
    <t>10:01:06:02:02:5166</t>
  </si>
  <si>
    <t>110а</t>
  </si>
  <si>
    <t>Олди-сотди шартномаси 15-254 30/03/06</t>
  </si>
  <si>
    <t>IMAMOV OLIMJON TOIROVICH</t>
  </si>
  <si>
    <t>10:01:06:01:02:5035</t>
  </si>
  <si>
    <t>Қонун бўйича ворислик ҳақида гувоҳнома 1-3450 15/10/18</t>
  </si>
  <si>
    <t>AXMEDOVA MALOXAT SHAKIROVNA</t>
  </si>
  <si>
    <t>10:01:06:01:02:5010</t>
  </si>
  <si>
    <t>Васиятнома бўйича ворислик ҳақида гувоҳномаси 14-444 08/07/08</t>
  </si>
  <si>
    <t>Учтепа тумани Катта Чўпонота махалласидаги нотурар объектлар</t>
  </si>
  <si>
    <t>Тартиб рақами</t>
  </si>
  <si>
    <t>Карта рақами</t>
  </si>
  <si>
    <t>Мулк эгаси</t>
  </si>
  <si>
    <t>Кўчаси</t>
  </si>
  <si>
    <t>Хужжати</t>
  </si>
  <si>
    <t>Сотка</t>
  </si>
  <si>
    <t>Қурилиш ости  кв.м.</t>
  </si>
  <si>
    <t>Захват кв.м.</t>
  </si>
  <si>
    <t>Снос харажатлари       ($100 000)</t>
  </si>
  <si>
    <t>ООО 'QODIRBEK'</t>
  </si>
  <si>
    <t>МКАД</t>
  </si>
  <si>
    <t>10:01:06:01:02:0013</t>
  </si>
  <si>
    <t>Решение хакима №261 от 12.10.2006г.                              Решение Хокима №1182 от 28.12.2017г.</t>
  </si>
  <si>
    <t>ATABAYEV ALISHER QADAMOVICH</t>
  </si>
  <si>
    <t>Богистон,</t>
  </si>
  <si>
    <t>4а</t>
  </si>
  <si>
    <t>10:01:06:01:02:0022</t>
  </si>
  <si>
    <t>Договор купли-продажи №01/08 от 13.08.2020г.</t>
  </si>
  <si>
    <t>ЧП "DE LYUKS STAR"</t>
  </si>
  <si>
    <t>10:01:06:01:02:0038</t>
  </si>
  <si>
    <t>решение №145 от 13.03.2015г.</t>
  </si>
  <si>
    <t>MUXAMEDOV BEXZOD NIGMATULLAYEVICH</t>
  </si>
  <si>
    <t>4б</t>
  </si>
  <si>
    <t>10:01:06:01:02:0047</t>
  </si>
  <si>
    <t>Решение Хокима №78 от 12.02.2015г.</t>
  </si>
  <si>
    <t>ООО 'RAVSHANJON-UNIPROM '</t>
  </si>
  <si>
    <t>10:01:06:01:02:0054</t>
  </si>
  <si>
    <t>Договор купли-продажи №4986 от 19.08.2014г.акт приемки в эксплуатацию завершенных строительством (реконструкцией) зданий и сооружений №28941511 от 19.03.2021г.</t>
  </si>
  <si>
    <t>ООО "RAVSHANJON-UNIPROM"</t>
  </si>
  <si>
    <t>10:01:06:01:02:0029</t>
  </si>
  <si>
    <t>Решение хакима №42 от 14.02.2008г.</t>
  </si>
  <si>
    <t>ООО "UCHTEPA AKSAZ"</t>
  </si>
  <si>
    <t>МКАД,</t>
  </si>
  <si>
    <t>3а</t>
  </si>
  <si>
    <t>10:01:06:01:02:0030</t>
  </si>
  <si>
    <t>Решение хакима №1266 от 22.12.2003г.</t>
  </si>
  <si>
    <t>ЧП "VLAVAD RENT SERVIS"</t>
  </si>
  <si>
    <t>Фозилтепа,</t>
  </si>
  <si>
    <t>10:01:06:01:02:0040</t>
  </si>
  <si>
    <t>Государственный ордер №247 от 06.09.2006г.</t>
  </si>
  <si>
    <t>OOO "AKSAVA"</t>
  </si>
  <si>
    <t>10:01:06:01:02:0008</t>
  </si>
  <si>
    <t>Решение хакима №970 от 27.08.2001г.</t>
  </si>
  <si>
    <t>ООО "PROF AVTO GARANT"</t>
  </si>
  <si>
    <t>Фозилтепа</t>
  </si>
  <si>
    <t>10:01:06:01:02:0003</t>
  </si>
  <si>
    <t>Решение Хокима №104 от 30.01.2017г.</t>
  </si>
  <si>
    <t>ЧП 'MTP GARANT AGROMASH SERVIS'</t>
  </si>
  <si>
    <t>10:01:06:01:02:0009</t>
  </si>
  <si>
    <t>Государственный ордер №12 от 23.07.2015г.</t>
  </si>
  <si>
    <t>ООО "ERDON-SERVIS"</t>
  </si>
  <si>
    <t>4е</t>
  </si>
  <si>
    <t>10:01:06:01:02:0025</t>
  </si>
  <si>
    <t>Решение хакима №12 от 13.01.2009г.</t>
  </si>
  <si>
    <t>ЧП "GULSHAN JILOSI"</t>
  </si>
  <si>
    <t>10:01:06:01:02:0019</t>
  </si>
  <si>
    <t>Олди сотди шартномаси 07.08.2012 й № 2/2833, Фуқаролик ишлари бўйича Тошкент шахар судининг қарори 17.03.2015 й № 10-1520/3172</t>
  </si>
  <si>
    <t>MIRSOATOV UBAYDULLO ABDULLO O‘G‘LI</t>
  </si>
  <si>
    <t>10:01:06:01:02:0031</t>
  </si>
  <si>
    <t>Олди сотди шартномаси 06.03.2019 й № 201900061001688.</t>
  </si>
  <si>
    <t>SIDIKOV BAXODIR AKMALOVICH</t>
  </si>
  <si>
    <t>10:01:06:01:02:0032</t>
  </si>
  <si>
    <t>Олди сотди шартномаси 03.06.2021 й № 202102108003387.</t>
  </si>
  <si>
    <t>ГП "Спецавтообъединение Главного управления здравоохранения г.Ташкента"</t>
  </si>
  <si>
    <t>10:01:06:01:02:0005</t>
  </si>
  <si>
    <t>Приказ №65 от 16.02.1995г. Приказ №289 от 13.10.2017г.</t>
  </si>
  <si>
    <t>ООО "TOSHKENT SHAHAR SUV TA`MINOTI"</t>
  </si>
  <si>
    <t>10:01:06:01:02:0021</t>
  </si>
  <si>
    <t>Учтепа туман хокимининг карори 10.03.2017 й. № 238</t>
  </si>
  <si>
    <t>Снос харажатлари      ($100 000)</t>
  </si>
  <si>
    <t>"DRENAJLAR VA KOLLEKTORLARNI TA'MIRLASH VA SAQLASH IXTISOSLASHTIRILGAN BOSHKARMASI"DAVLAT MUASSASAS</t>
  </si>
  <si>
    <t>10:01:06:01:02:0049</t>
  </si>
  <si>
    <t>Мехнаткашлар депутатлариТошкент шахар советининг ижроия комитетининг қарори 01.07.1969 й № 192, Тошкент шахар совет халқ депутатлари комитетининг қарори 06.03.1987 й № 155/5, Акмал Икромов туман хокимининг қарори 29.10.1999 й № 1493.</t>
  </si>
  <si>
    <t xml:space="preserve">XUKUMAT OB'EKLARIDA XIZMAT KO'RSATISH BO'YICHA MAXSUS BOSHQARMA </t>
  </si>
  <si>
    <t>10:01:06:01:02:0014</t>
  </si>
  <si>
    <t>Ўзбекистон Республикаси Вазирлар Махкамасининг фармойиши 20.03.2003 й № 166-ф</t>
  </si>
  <si>
    <t>Сход граждан махалли 'CHO'PON OTA'</t>
  </si>
  <si>
    <t>10:01:06:01:02:0052</t>
  </si>
  <si>
    <t>Договор аренды земельного участка №1-14-1-0283-12 от 26.08.2012г.</t>
  </si>
  <si>
    <t>ГУП "SUVSOZ"</t>
  </si>
  <si>
    <t>10:01:06:01:02:0039</t>
  </si>
  <si>
    <t>Решение №708/33 от 04.12.1987г.                  Государственный ордер подтверждающий права собственности №16 от 05.05.2020г.</t>
  </si>
  <si>
    <t>G‘AFURJONOV SHAHZOD ALISHER O‘G‘LI</t>
  </si>
  <si>
    <t>10:01:06:01:02:0017</t>
  </si>
  <si>
    <t>Олди сотди шартномаси 05.02.2021 й № 202101915001388.</t>
  </si>
  <si>
    <t>XAMIDOVA PARIDA KABILOVNA</t>
  </si>
  <si>
    <t>Богобод</t>
  </si>
  <si>
    <t>269,271а,273</t>
  </si>
  <si>
    <t>10:01:06:01:02:0055</t>
  </si>
  <si>
    <t>Учтепа туман хокимининг қарори 27.05.2016 й № 398</t>
  </si>
  <si>
    <t>ООО "TURON MEROS"</t>
  </si>
  <si>
    <t>10:01:06:01:02:0058</t>
  </si>
  <si>
    <t>Тошкент шахар хокими 01.06.2021 й № 650</t>
  </si>
  <si>
    <t>ООО "SOFIYA QANDOLAT"</t>
  </si>
  <si>
    <t>10:01:06:01:02:0057</t>
  </si>
  <si>
    <t>Тошкент шахар хокими 07.04.2021 й № 386</t>
  </si>
  <si>
    <t>ООО "MADINA-MUXLISA STAR" (Парк)</t>
  </si>
  <si>
    <t>10:01:06:01:02:0016</t>
  </si>
  <si>
    <t>Учтепа туман хокими қарори 14.12.2017 й № 1140</t>
  </si>
  <si>
    <t>Ер нархи кв.м. $ 500-800</t>
  </si>
  <si>
    <t>Вазирлар Маҳкамасининг 2024 йил 10 июльдаги 414-сонли қарорига асосан дирекция томонидан давлат объектларини кўчириш мажбурияти харажатлари</t>
  </si>
  <si>
    <t>Қўшимча харажатлар (1-2 %)</t>
  </si>
  <si>
    <t>Жами харажатлар:</t>
  </si>
  <si>
    <t>Турар-жойларни кўчириш билан боғлиқ компенсация харажатлари</t>
  </si>
  <si>
    <t>Нотурар-жойларни кўчириш билан боғлиқ компенсация харажатлари</t>
  </si>
  <si>
    <t>Дирекция сақлаш ва бошқа сарф-харажатлари</t>
  </si>
  <si>
    <t>Учтепа сити лойиҳасини амалга ошириш учун дастлабки таҳлилий сарф-харажатлар</t>
  </si>
  <si>
    <t>ҲИСОБ КИТОБИ</t>
  </si>
  <si>
    <t>Харажатлар номи</t>
  </si>
  <si>
    <t>Сони</t>
  </si>
  <si>
    <t>Суммаси</t>
  </si>
  <si>
    <t>Компенсация берилмайдиган ҳамада бузилмайдиган нотурар объектлар</t>
  </si>
  <si>
    <t xml:space="preserve">Компенсиация суммаси тахминий </t>
  </si>
  <si>
    <t>Решение хакима №261 от 12.10.2006г.  Решение Хокима №1182 от 28.12.2017г.</t>
  </si>
  <si>
    <t xml:space="preserve"> </t>
  </si>
  <si>
    <t>Хаммасини жами:</t>
  </si>
  <si>
    <t xml:space="preserve">Лот рақами </t>
  </si>
  <si>
    <t>Лот жами:</t>
  </si>
  <si>
    <t xml:space="preserve">Хар бир сотих </t>
  </si>
  <si>
    <t xml:space="preserve">Лот майдони сотих </t>
  </si>
  <si>
    <t>1 сўтиҳ нархи</t>
  </si>
  <si>
    <t>Тушум</t>
  </si>
  <si>
    <t>ўртача</t>
  </si>
  <si>
    <t>Тушум ва компенсация фарқи</t>
  </si>
  <si>
    <r>
      <t xml:space="preserve">Компенсация суммаси
 </t>
    </r>
    <r>
      <rPr>
        <sz val="12"/>
        <color theme="1"/>
        <rFont val="Calibri"/>
        <family val="2"/>
        <charset val="204"/>
        <scheme val="minor"/>
      </rPr>
      <t>(дастлабки ҳ-к бўйича)</t>
    </r>
  </si>
  <si>
    <r>
      <t>Лот майдони</t>
    </r>
    <r>
      <rPr>
        <sz val="12"/>
        <color theme="1"/>
        <rFont val="Calibri"/>
        <family val="2"/>
        <charset val="204"/>
        <scheme val="minor"/>
      </rPr>
      <t xml:space="preserve"> (кв.м.)</t>
    </r>
  </si>
  <si>
    <r>
      <t xml:space="preserve">Компенсиация 
</t>
    </r>
    <r>
      <rPr>
        <sz val="12"/>
        <color theme="1"/>
        <rFont val="Calibri"/>
        <family val="2"/>
        <charset val="204"/>
        <scheme val="minor"/>
      </rPr>
      <t>(1 кв.м. учун)</t>
    </r>
  </si>
  <si>
    <r>
      <t>1 сўтиҳ нархи</t>
    </r>
    <r>
      <rPr>
        <sz val="12"/>
        <color theme="1"/>
        <rFont val="Calibri"/>
        <family val="2"/>
        <charset val="204"/>
        <scheme val="minor"/>
      </rPr>
      <t xml:space="preserve"> (аукцион)</t>
    </r>
  </si>
  <si>
    <r>
      <t xml:space="preserve">Тушум
 </t>
    </r>
    <r>
      <rPr>
        <sz val="12"/>
        <color theme="1"/>
        <rFont val="Calibri"/>
        <family val="2"/>
        <charset val="204"/>
        <scheme val="minor"/>
      </rPr>
      <t>(аукцион)</t>
    </r>
  </si>
  <si>
    <t xml:space="preserve">Ички инфротузилма </t>
  </si>
  <si>
    <t xml:space="preserve">Яшил майдон </t>
  </si>
  <si>
    <t>Турар</t>
  </si>
  <si>
    <t>Нотурар</t>
  </si>
  <si>
    <t>G‘OFUROV SA’DULLA TAXIR O‘G‘LI</t>
  </si>
  <si>
    <t>Богистон кўчаси</t>
  </si>
  <si>
    <t>99а</t>
  </si>
  <si>
    <t>OOO "RESTAVRATOR UNIVERSAL"</t>
  </si>
  <si>
    <t>99Б</t>
  </si>
  <si>
    <t>Компенсация суммаси
 (дастлабки ҳ-к бўйича)</t>
  </si>
  <si>
    <t>Лот майдони (кв.м.)</t>
  </si>
  <si>
    <t>Компенсиация 
(1 кв.м. учун)</t>
  </si>
  <si>
    <t>1 сўтиҳ нархи (аукцион)</t>
  </si>
  <si>
    <t>Тушум
 (аукцион)</t>
  </si>
  <si>
    <t>Умумий лотлар маълумоти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</si>
</sst>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[$$-409]#,##0"/>
    <numFmt numFmtId="166" formatCode="[$$-409]#,##0_ ;\-[$$-409]#,##0\ "/>
    <numFmt numFmtId="167" formatCode="_-* #,##0.0_-;\-* #,##0.0_-;_-* &quot;-&quot;??_-;_-@_-"/>
  </numFmts>
  <fonts count="26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204"/>
      <scheme val="minor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6"/>
      <color theme="1"/>
      <name val="Times New Roman"/>
      <family val="1"/>
    </font>
    <font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00B05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</cellStyleXfs>
  <cellXfs count="216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4" fontId="8" fillId="0" borderId="1" xfId="1" applyNumberFormat="1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164" fontId="8" fillId="0" borderId="1" xfId="1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wrapText="1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0" borderId="1" xfId="0" quotePrefix="1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/>
    <xf numFmtId="0" fontId="4" fillId="0" borderId="1" xfId="0" applyFont="1" applyBorder="1" applyAlignment="1">
      <alignment horizontal="center" wrapText="1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165" fontId="3" fillId="0" borderId="0" xfId="0" applyNumberFormat="1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7" fillId="0" borderId="0" xfId="2" applyFont="1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7" fillId="0" borderId="1" xfId="3" applyNumberFormat="1" applyFont="1" applyFill="1" applyBorder="1" applyAlignment="1">
      <alignment horizontal="center" vertical="center"/>
    </xf>
    <xf numFmtId="166" fontId="7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/>
    </xf>
    <xf numFmtId="43" fontId="7" fillId="0" borderId="1" xfId="2" applyNumberFormat="1" applyFont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167" fontId="7" fillId="0" borderId="1" xfId="3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wrapText="1"/>
    </xf>
    <xf numFmtId="164" fontId="5" fillId="0" borderId="1" xfId="3" applyNumberFormat="1" applyFont="1" applyFill="1" applyBorder="1" applyAlignment="1">
      <alignment horizontal="right" vertical="center"/>
    </xf>
    <xf numFmtId="167" fontId="5" fillId="0" borderId="1" xfId="3" applyNumberFormat="1" applyFont="1" applyFill="1" applyBorder="1" applyAlignment="1">
      <alignment horizontal="right" vertical="center"/>
    </xf>
    <xf numFmtId="0" fontId="4" fillId="0" borderId="0" xfId="2" applyFont="1"/>
    <xf numFmtId="0" fontId="6" fillId="7" borderId="1" xfId="2" applyFont="1" applyFill="1" applyBorder="1" applyAlignment="1">
      <alignment horizontal="center" vertical="center"/>
    </xf>
    <xf numFmtId="0" fontId="3" fillId="2" borderId="1" xfId="2" quotePrefix="1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 wrapText="1"/>
    </xf>
    <xf numFmtId="164" fontId="3" fillId="0" borderId="1" xfId="3" applyNumberFormat="1" applyFont="1" applyFill="1" applyBorder="1" applyAlignment="1">
      <alignment horizontal="center" vertical="center"/>
    </xf>
    <xf numFmtId="43" fontId="3" fillId="0" borderId="1" xfId="2" applyNumberFormat="1" applyFont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/>
    </xf>
    <xf numFmtId="0" fontId="11" fillId="7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0" fontId="13" fillId="0" borderId="1" xfId="2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center" wrapText="1"/>
    </xf>
    <xf numFmtId="164" fontId="13" fillId="0" borderId="1" xfId="3" applyNumberFormat="1" applyFont="1" applyFill="1" applyBorder="1" applyAlignment="1">
      <alignment horizontal="center" vertical="center"/>
    </xf>
    <xf numFmtId="43" fontId="13" fillId="0" borderId="1" xfId="2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66" fontId="5" fillId="0" borderId="1" xfId="2" applyNumberFormat="1" applyFont="1" applyBorder="1" applyAlignment="1">
      <alignment horizontal="right" vertical="center"/>
    </xf>
    <xf numFmtId="0" fontId="5" fillId="0" borderId="0" xfId="2" applyFont="1"/>
    <xf numFmtId="0" fontId="5" fillId="0" borderId="3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left" vertical="center" wrapText="1"/>
    </xf>
    <xf numFmtId="164" fontId="8" fillId="0" borderId="3" xfId="3" applyNumberFormat="1" applyFont="1" applyFill="1" applyBorder="1" applyAlignment="1">
      <alignment horizontal="center" vertical="center"/>
    </xf>
    <xf numFmtId="43" fontId="8" fillId="0" borderId="1" xfId="3" applyFont="1" applyFill="1" applyBorder="1" applyAlignment="1">
      <alignment horizontal="center" vertical="center"/>
    </xf>
    <xf numFmtId="164" fontId="8" fillId="0" borderId="1" xfId="3" applyNumberFormat="1" applyFont="1" applyFill="1" applyBorder="1" applyAlignment="1">
      <alignment horizontal="center" vertical="center"/>
    </xf>
    <xf numFmtId="166" fontId="8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/>
    </xf>
    <xf numFmtId="43" fontId="8" fillId="0" borderId="1" xfId="2" applyNumberFormat="1" applyFont="1" applyBorder="1" applyAlignment="1">
      <alignment horizontal="center" vertical="center"/>
    </xf>
    <xf numFmtId="167" fontId="8" fillId="0" borderId="1" xfId="3" applyNumberFormat="1" applyFont="1" applyFill="1" applyBorder="1" applyAlignment="1">
      <alignment horizontal="center" vertical="center"/>
    </xf>
    <xf numFmtId="0" fontId="8" fillId="0" borderId="1" xfId="2" quotePrefix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/>
    <xf numFmtId="0" fontId="3" fillId="0" borderId="1" xfId="0" applyFont="1" applyBorder="1"/>
    <xf numFmtId="166" fontId="5" fillId="0" borderId="1" xfId="3" applyNumberFormat="1" applyFont="1" applyFill="1" applyBorder="1" applyAlignment="1">
      <alignment horizontal="center" vertical="center"/>
    </xf>
    <xf numFmtId="0" fontId="7" fillId="7" borderId="0" xfId="2" applyFont="1" applyFill="1"/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/>
    <xf numFmtId="165" fontId="3" fillId="0" borderId="6" xfId="0" applyNumberFormat="1" applyFont="1" applyBorder="1" applyAlignment="1">
      <alignment vertical="center"/>
    </xf>
    <xf numFmtId="0" fontId="3" fillId="0" borderId="5" xfId="0" applyFont="1" applyBorder="1" applyAlignment="1">
      <alignment wrapText="1"/>
    </xf>
    <xf numFmtId="0" fontId="3" fillId="0" borderId="7" xfId="0" applyFont="1" applyBorder="1"/>
    <xf numFmtId="0" fontId="3" fillId="0" borderId="3" xfId="0" applyFont="1" applyBorder="1" applyAlignment="1">
      <alignment horizontal="center" vertical="center"/>
    </xf>
    <xf numFmtId="165" fontId="3" fillId="0" borderId="8" xfId="0" applyNumberFormat="1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165" fontId="3" fillId="0" borderId="14" xfId="0" applyNumberFormat="1" applyFont="1" applyBorder="1" applyAlignment="1">
      <alignment vertical="center"/>
    </xf>
    <xf numFmtId="0" fontId="6" fillId="0" borderId="9" xfId="0" applyFont="1" applyBorder="1"/>
    <xf numFmtId="0" fontId="6" fillId="0" borderId="10" xfId="0" applyFont="1" applyBorder="1"/>
    <xf numFmtId="165" fontId="6" fillId="0" borderId="11" xfId="0" applyNumberFormat="1" applyFont="1" applyBorder="1" applyAlignment="1">
      <alignment vertical="center"/>
    </xf>
    <xf numFmtId="164" fontId="3" fillId="0" borderId="1" xfId="1" applyNumberFormat="1" applyFont="1" applyFill="1" applyBorder="1" applyAlignment="1">
      <alignment horizontal="center" vertical="center" wrapText="1"/>
    </xf>
    <xf numFmtId="43" fontId="3" fillId="0" borderId="1" xfId="3" applyFont="1" applyFill="1" applyBorder="1" applyAlignment="1">
      <alignment horizontal="center" vertical="center"/>
    </xf>
    <xf numFmtId="167" fontId="3" fillId="0" borderId="1" xfId="3" applyNumberFormat="1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2" quotePrefix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5" fillId="0" borderId="1" xfId="3" applyNumberFormat="1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3" fontId="3" fillId="0" borderId="0" xfId="2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/>
    </xf>
    <xf numFmtId="165" fontId="21" fillId="10" borderId="1" xfId="0" applyNumberFormat="1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165" fontId="3" fillId="0" borderId="17" xfId="0" applyNumberFormat="1" applyFont="1" applyBorder="1" applyAlignment="1">
      <alignment vertical="center"/>
    </xf>
    <xf numFmtId="0" fontId="14" fillId="0" borderId="0" xfId="0" applyFont="1" applyAlignment="1">
      <alignment horizontal="center"/>
    </xf>
    <xf numFmtId="0" fontId="5" fillId="0" borderId="2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5" fillId="8" borderId="1" xfId="2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vertical="center" wrapText="1"/>
    </xf>
    <xf numFmtId="0" fontId="25" fillId="0" borderId="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5" fillId="0" borderId="3" xfId="2" applyFont="1" applyBorder="1" applyAlignment="1">
      <alignment horizontal="center" vertical="center" wrapText="1"/>
    </xf>
    <xf numFmtId="0" fontId="5" fillId="0" borderId="18" xfId="2" applyFont="1" applyBorder="1" applyAlignment="1">
      <alignment vertical="center"/>
    </xf>
    <xf numFmtId="0" fontId="5" fillId="0" borderId="19" xfId="2" applyFont="1" applyBorder="1" applyAlignment="1">
      <alignment vertical="center"/>
    </xf>
    <xf numFmtId="0" fontId="5" fillId="0" borderId="3" xfId="2" applyFont="1" applyFill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 wrapText="1"/>
    </xf>
    <xf numFmtId="0" fontId="5" fillId="0" borderId="1" xfId="2" quotePrefix="1" applyFont="1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 wrapText="1"/>
    </xf>
    <xf numFmtId="0" fontId="4" fillId="7" borderId="0" xfId="2" applyFont="1" applyFill="1"/>
    <xf numFmtId="0" fontId="25" fillId="0" borderId="2" xfId="0" applyFont="1" applyBorder="1" applyAlignment="1">
      <alignment horizontal="center" vertical="center"/>
    </xf>
  </cellXfs>
  <cellStyles count="4">
    <cellStyle name="Обычный" xfId="0" builtinId="0"/>
    <cellStyle name="Обычный 2" xfId="2" xr:uid="{C6020888-F383-1245-A841-EEF98C039E4D}"/>
    <cellStyle name="Финансовый 2" xfId="1" xr:uid="{64769420-B977-E84D-A565-9F436ACEC47B}"/>
    <cellStyle name="Финансовый 2 2" xfId="3" xr:uid="{2702EF3E-091C-264E-9507-10FAB45BA2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58E1-A9F6-3D4C-B77E-CA769402AC94}">
  <dimension ref="A1:C12"/>
  <sheetViews>
    <sheetView view="pageBreakPreview" topLeftCell="A3" zoomScale="220" zoomScaleNormal="139" zoomScaleSheetLayoutView="220" workbookViewId="0">
      <selection activeCell="C17" sqref="C17"/>
    </sheetView>
  </sheetViews>
  <sheetFormatPr baseColWidth="10" defaultColWidth="11" defaultRowHeight="16" x14ac:dyDescent="0.2"/>
  <cols>
    <col min="1" max="1" width="63.1640625" customWidth="1"/>
    <col min="2" max="2" width="13.1640625" customWidth="1"/>
    <col min="3" max="3" width="18.5" customWidth="1"/>
  </cols>
  <sheetData>
    <row r="1" spans="1:3" x14ac:dyDescent="0.2">
      <c r="A1" s="160" t="s">
        <v>607</v>
      </c>
      <c r="B1" s="160"/>
      <c r="C1" s="160"/>
    </row>
    <row r="2" spans="1:3" x14ac:dyDescent="0.2">
      <c r="A2" s="160" t="s">
        <v>608</v>
      </c>
      <c r="B2" s="160"/>
      <c r="C2" s="160"/>
    </row>
    <row r="3" spans="1:3" ht="8.75" customHeight="1" thickBot="1" x14ac:dyDescent="0.25"/>
    <row r="4" spans="1:3" ht="30.75" customHeight="1" thickBot="1" x14ac:dyDescent="0.25">
      <c r="A4" s="104" t="s">
        <v>609</v>
      </c>
      <c r="B4" s="105" t="s">
        <v>610</v>
      </c>
      <c r="C4" s="106" t="s">
        <v>611</v>
      </c>
    </row>
    <row r="5" spans="1:3" ht="30.75" customHeight="1" x14ac:dyDescent="0.2">
      <c r="A5" s="101" t="s">
        <v>604</v>
      </c>
      <c r="B5" s="102">
        <f>Турар!A157</f>
        <v>151</v>
      </c>
      <c r="C5" s="103">
        <f>Турар!Q158</f>
        <v>76359453</v>
      </c>
    </row>
    <row r="6" spans="1:3" ht="30.75" customHeight="1" x14ac:dyDescent="0.2">
      <c r="A6" s="98" t="s">
        <v>605</v>
      </c>
      <c r="B6" s="44">
        <v>16</v>
      </c>
      <c r="C6" s="99">
        <f>Нотурар!L20</f>
        <v>37980000</v>
      </c>
    </row>
    <row r="7" spans="1:3" ht="30.75" customHeight="1" x14ac:dyDescent="0.2">
      <c r="A7" s="100" t="s">
        <v>601</v>
      </c>
      <c r="B7" s="97">
        <v>5</v>
      </c>
      <c r="C7" s="99">
        <v>15000000</v>
      </c>
    </row>
    <row r="8" spans="1:3" ht="30.75" customHeight="1" x14ac:dyDescent="0.2">
      <c r="A8" s="98" t="s">
        <v>606</v>
      </c>
      <c r="B8" s="94"/>
      <c r="C8" s="99">
        <v>3000000</v>
      </c>
    </row>
    <row r="9" spans="1:3" ht="30.75" customHeight="1" x14ac:dyDescent="0.2">
      <c r="A9" s="107" t="s">
        <v>602</v>
      </c>
      <c r="B9" s="108"/>
      <c r="C9" s="109">
        <f>(C8+C7+C6+C5)*1.5%</f>
        <v>1985091.7949999999</v>
      </c>
    </row>
    <row r="10" spans="1:3" ht="30.75" customHeight="1" x14ac:dyDescent="0.2">
      <c r="A10" s="157" t="s">
        <v>630</v>
      </c>
      <c r="B10" s="158"/>
      <c r="C10" s="159">
        <v>7100000</v>
      </c>
    </row>
    <row r="11" spans="1:3" ht="30.75" customHeight="1" thickBot="1" x14ac:dyDescent="0.25">
      <c r="A11" s="157" t="s">
        <v>631</v>
      </c>
      <c r="B11" s="158"/>
      <c r="C11" s="159">
        <v>3500000</v>
      </c>
    </row>
    <row r="12" spans="1:3" ht="30.75" customHeight="1" thickBot="1" x14ac:dyDescent="0.25">
      <c r="A12" s="110" t="s">
        <v>603</v>
      </c>
      <c r="B12" s="111"/>
      <c r="C12" s="112">
        <f>SUM(C5:C11)</f>
        <v>144924544.79499999</v>
      </c>
    </row>
  </sheetData>
  <mergeCells count="2">
    <mergeCell ref="A1:C1"/>
    <mergeCell ref="A2:C2"/>
  </mergeCells>
  <pageMargins left="0.70866141732283472" right="0.70866141732283472" top="0.74803149606299213" bottom="0.74803149606299213" header="0.31496062992125984" footer="0.31496062992125984"/>
  <pageSetup paperSize="9" scale="125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1C0A-5CD8-A045-B409-5271CDC4BBC5}">
  <sheetPr>
    <pageSetUpPr fitToPage="1"/>
  </sheetPr>
  <dimension ref="A1:M34"/>
  <sheetViews>
    <sheetView zoomScale="90" zoomScaleNormal="90" workbookViewId="0">
      <selection activeCell="C17" sqref="C17"/>
    </sheetView>
  </sheetViews>
  <sheetFormatPr baseColWidth="10" defaultColWidth="10.83203125" defaultRowHeight="14" x14ac:dyDescent="0.15"/>
  <cols>
    <col min="1" max="1" width="9.1640625" style="40" bestFit="1" customWidth="1"/>
    <col min="2" max="2" width="12" style="40" hidden="1" customWidth="1"/>
    <col min="3" max="3" width="52.5" style="40" bestFit="1" customWidth="1"/>
    <col min="4" max="4" width="13.1640625" style="40" customWidth="1"/>
    <col min="5" max="5" width="13.1640625" style="40" bestFit="1" customWidth="1"/>
    <col min="6" max="6" width="32.83203125" style="40" hidden="1" customWidth="1"/>
    <col min="7" max="7" width="121.1640625" style="40" hidden="1" customWidth="1"/>
    <col min="8" max="8" width="17.33203125" style="40" bestFit="1" customWidth="1"/>
    <col min="9" max="9" width="8.83203125" style="40" customWidth="1"/>
    <col min="10" max="10" width="14.33203125" style="40" customWidth="1"/>
    <col min="11" max="11" width="11.6640625" style="40" customWidth="1"/>
    <col min="12" max="12" width="21.83203125" style="40" bestFit="1" customWidth="1"/>
    <col min="13" max="13" width="65.6640625" style="40" bestFit="1" customWidth="1"/>
    <col min="14" max="16384" width="10.83203125" style="40"/>
  </cols>
  <sheetData>
    <row r="1" spans="1:12" ht="18" x14ac:dyDescent="0.15">
      <c r="A1" s="161" t="s">
        <v>500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</row>
    <row r="2" spans="1:12" ht="76" x14ac:dyDescent="0.15">
      <c r="A2" s="53" t="s">
        <v>501</v>
      </c>
      <c r="B2" s="53" t="s">
        <v>502</v>
      </c>
      <c r="C2" s="53" t="s">
        <v>503</v>
      </c>
      <c r="D2" s="53" t="s">
        <v>504</v>
      </c>
      <c r="E2" s="53" t="s">
        <v>6</v>
      </c>
      <c r="F2" s="53" t="s">
        <v>4</v>
      </c>
      <c r="G2" s="53" t="s">
        <v>505</v>
      </c>
      <c r="H2" s="53" t="s">
        <v>7</v>
      </c>
      <c r="I2" s="53" t="s">
        <v>506</v>
      </c>
      <c r="J2" s="53" t="s">
        <v>507</v>
      </c>
      <c r="K2" s="53" t="s">
        <v>508</v>
      </c>
      <c r="L2" s="53" t="s">
        <v>509</v>
      </c>
    </row>
    <row r="3" spans="1:12" ht="19" x14ac:dyDescent="0.15">
      <c r="A3" s="52">
        <v>1</v>
      </c>
      <c r="B3" s="78">
        <v>134</v>
      </c>
      <c r="C3" s="79" t="s">
        <v>510</v>
      </c>
      <c r="D3" s="6" t="s">
        <v>511</v>
      </c>
      <c r="E3" s="6"/>
      <c r="F3" s="80" t="s">
        <v>512</v>
      </c>
      <c r="G3" s="81" t="s">
        <v>513</v>
      </c>
      <c r="H3" s="82">
        <v>1150</v>
      </c>
      <c r="I3" s="83">
        <f t="shared" ref="I3:I17" si="0">H3/100</f>
        <v>11.5</v>
      </c>
      <c r="J3" s="83"/>
      <c r="K3" s="84"/>
      <c r="L3" s="85">
        <f t="shared" ref="L3:L17" si="1">I3*100000</f>
        <v>1150000</v>
      </c>
    </row>
    <row r="4" spans="1:12" ht="19" x14ac:dyDescent="0.15">
      <c r="A4" s="52">
        <v>2</v>
      </c>
      <c r="B4" s="52">
        <v>136</v>
      </c>
      <c r="C4" s="79" t="s">
        <v>514</v>
      </c>
      <c r="D4" s="6" t="s">
        <v>515</v>
      </c>
      <c r="E4" s="6" t="s">
        <v>516</v>
      </c>
      <c r="F4" s="79" t="s">
        <v>517</v>
      </c>
      <c r="G4" s="86" t="s">
        <v>518</v>
      </c>
      <c r="H4" s="84">
        <v>211</v>
      </c>
      <c r="I4" s="83">
        <f t="shared" si="0"/>
        <v>2.11</v>
      </c>
      <c r="J4" s="83"/>
      <c r="K4" s="84"/>
      <c r="L4" s="85">
        <f t="shared" si="1"/>
        <v>211000</v>
      </c>
    </row>
    <row r="5" spans="1:12" ht="19" x14ac:dyDescent="0.15">
      <c r="A5" s="52">
        <v>3</v>
      </c>
      <c r="B5" s="52">
        <v>137</v>
      </c>
      <c r="C5" s="79" t="s">
        <v>519</v>
      </c>
      <c r="D5" s="6" t="s">
        <v>515</v>
      </c>
      <c r="E5" s="6" t="s">
        <v>516</v>
      </c>
      <c r="F5" s="79" t="s">
        <v>520</v>
      </c>
      <c r="G5" s="86" t="s">
        <v>521</v>
      </c>
      <c r="H5" s="84">
        <v>3663</v>
      </c>
      <c r="I5" s="83">
        <f t="shared" si="0"/>
        <v>36.630000000000003</v>
      </c>
      <c r="J5" s="83"/>
      <c r="K5" s="84"/>
      <c r="L5" s="85">
        <f t="shared" si="1"/>
        <v>3663000.0000000005</v>
      </c>
    </row>
    <row r="6" spans="1:12" ht="38" x14ac:dyDescent="0.15">
      <c r="A6" s="52">
        <v>4</v>
      </c>
      <c r="B6" s="52">
        <v>138</v>
      </c>
      <c r="C6" s="79" t="s">
        <v>522</v>
      </c>
      <c r="D6" s="6" t="s">
        <v>515</v>
      </c>
      <c r="E6" s="6" t="s">
        <v>523</v>
      </c>
      <c r="F6" s="79" t="s">
        <v>524</v>
      </c>
      <c r="G6" s="86" t="s">
        <v>525</v>
      </c>
      <c r="H6" s="84">
        <v>1751</v>
      </c>
      <c r="I6" s="83">
        <f t="shared" si="0"/>
        <v>17.510000000000002</v>
      </c>
      <c r="J6" s="83"/>
      <c r="K6" s="84"/>
      <c r="L6" s="85">
        <f t="shared" si="1"/>
        <v>1751000.0000000002</v>
      </c>
    </row>
    <row r="7" spans="1:12" ht="20.25" customHeight="1" x14ac:dyDescent="0.15">
      <c r="A7" s="52">
        <v>5</v>
      </c>
      <c r="B7" s="52">
        <v>139</v>
      </c>
      <c r="C7" s="79" t="s">
        <v>526</v>
      </c>
      <c r="D7" s="6" t="s">
        <v>515</v>
      </c>
      <c r="E7" s="6" t="s">
        <v>516</v>
      </c>
      <c r="F7" s="79" t="s">
        <v>527</v>
      </c>
      <c r="G7" s="86" t="s">
        <v>528</v>
      </c>
      <c r="H7" s="84">
        <v>516</v>
      </c>
      <c r="I7" s="83">
        <f t="shared" si="0"/>
        <v>5.16</v>
      </c>
      <c r="J7" s="83"/>
      <c r="K7" s="84"/>
      <c r="L7" s="85">
        <f t="shared" si="1"/>
        <v>516000</v>
      </c>
    </row>
    <row r="8" spans="1:12" ht="19" x14ac:dyDescent="0.15">
      <c r="A8" s="52">
        <v>6</v>
      </c>
      <c r="B8" s="52">
        <v>140</v>
      </c>
      <c r="C8" s="79" t="s">
        <v>529</v>
      </c>
      <c r="D8" s="6" t="s">
        <v>515</v>
      </c>
      <c r="E8" s="6" t="s">
        <v>516</v>
      </c>
      <c r="F8" s="79" t="s">
        <v>530</v>
      </c>
      <c r="G8" s="86" t="s">
        <v>531</v>
      </c>
      <c r="H8" s="84">
        <v>2152</v>
      </c>
      <c r="I8" s="83">
        <f t="shared" si="0"/>
        <v>21.52</v>
      </c>
      <c r="J8" s="83"/>
      <c r="K8" s="84"/>
      <c r="L8" s="85">
        <f t="shared" si="1"/>
        <v>2152000</v>
      </c>
    </row>
    <row r="9" spans="1:12" ht="19" x14ac:dyDescent="0.15">
      <c r="A9" s="52">
        <v>7</v>
      </c>
      <c r="B9" s="52">
        <v>144</v>
      </c>
      <c r="C9" s="79" t="s">
        <v>532</v>
      </c>
      <c r="D9" s="6" t="s">
        <v>533</v>
      </c>
      <c r="E9" s="6" t="s">
        <v>534</v>
      </c>
      <c r="F9" s="79" t="s">
        <v>535</v>
      </c>
      <c r="G9" s="86" t="s">
        <v>536</v>
      </c>
      <c r="H9" s="84">
        <v>240</v>
      </c>
      <c r="I9" s="83">
        <f t="shared" si="0"/>
        <v>2.4</v>
      </c>
      <c r="J9" s="83"/>
      <c r="K9" s="84">
        <v>27</v>
      </c>
      <c r="L9" s="85">
        <f t="shared" si="1"/>
        <v>240000</v>
      </c>
    </row>
    <row r="10" spans="1:12" ht="19" x14ac:dyDescent="0.15">
      <c r="A10" s="52">
        <v>8</v>
      </c>
      <c r="B10" s="52">
        <v>155</v>
      </c>
      <c r="C10" s="79" t="s">
        <v>537</v>
      </c>
      <c r="D10" s="6" t="s">
        <v>538</v>
      </c>
      <c r="E10" s="6">
        <v>42</v>
      </c>
      <c r="F10" s="79" t="s">
        <v>539</v>
      </c>
      <c r="G10" s="86" t="s">
        <v>540</v>
      </c>
      <c r="H10" s="84">
        <v>2328</v>
      </c>
      <c r="I10" s="83">
        <f t="shared" si="0"/>
        <v>23.28</v>
      </c>
      <c r="J10" s="83"/>
      <c r="K10" s="84"/>
      <c r="L10" s="85">
        <f t="shared" si="1"/>
        <v>2328000</v>
      </c>
    </row>
    <row r="11" spans="1:12" ht="19" x14ac:dyDescent="0.15">
      <c r="A11" s="52">
        <v>9</v>
      </c>
      <c r="B11" s="52">
        <v>157</v>
      </c>
      <c r="C11" s="79" t="s">
        <v>541</v>
      </c>
      <c r="D11" s="6" t="s">
        <v>538</v>
      </c>
      <c r="E11" s="6">
        <v>34</v>
      </c>
      <c r="F11" s="79" t="s">
        <v>542</v>
      </c>
      <c r="G11" s="86" t="s">
        <v>543</v>
      </c>
      <c r="H11" s="84">
        <v>1000</v>
      </c>
      <c r="I11" s="83">
        <f t="shared" si="0"/>
        <v>10</v>
      </c>
      <c r="J11" s="83"/>
      <c r="K11" s="84">
        <v>7</v>
      </c>
      <c r="L11" s="85">
        <f t="shared" si="1"/>
        <v>1000000</v>
      </c>
    </row>
    <row r="12" spans="1:12" ht="19" x14ac:dyDescent="0.15">
      <c r="A12" s="52">
        <v>10</v>
      </c>
      <c r="B12" s="52">
        <v>158</v>
      </c>
      <c r="C12" s="79" t="s">
        <v>544</v>
      </c>
      <c r="D12" s="6" t="s">
        <v>545</v>
      </c>
      <c r="E12" s="6"/>
      <c r="F12" s="79" t="s">
        <v>546</v>
      </c>
      <c r="G12" s="86" t="s">
        <v>547</v>
      </c>
      <c r="H12" s="84">
        <v>333</v>
      </c>
      <c r="I12" s="83">
        <f t="shared" si="0"/>
        <v>3.33</v>
      </c>
      <c r="J12" s="83"/>
      <c r="K12" s="84"/>
      <c r="L12" s="85">
        <f t="shared" si="1"/>
        <v>333000</v>
      </c>
    </row>
    <row r="13" spans="1:12" ht="19" x14ac:dyDescent="0.15">
      <c r="A13" s="52">
        <v>11</v>
      </c>
      <c r="B13" s="52">
        <v>159</v>
      </c>
      <c r="C13" s="79" t="s">
        <v>548</v>
      </c>
      <c r="D13" s="6" t="s">
        <v>538</v>
      </c>
      <c r="E13" s="6">
        <v>34</v>
      </c>
      <c r="F13" s="79" t="s">
        <v>549</v>
      </c>
      <c r="G13" s="86" t="s">
        <v>550</v>
      </c>
      <c r="H13" s="84">
        <v>4285</v>
      </c>
      <c r="I13" s="83">
        <f t="shared" si="0"/>
        <v>42.85</v>
      </c>
      <c r="J13" s="83"/>
      <c r="K13" s="84"/>
      <c r="L13" s="85">
        <f t="shared" si="1"/>
        <v>4285000</v>
      </c>
    </row>
    <row r="14" spans="1:12" ht="19" x14ac:dyDescent="0.15">
      <c r="A14" s="52">
        <v>12</v>
      </c>
      <c r="B14" s="52">
        <v>160</v>
      </c>
      <c r="C14" s="79" t="s">
        <v>551</v>
      </c>
      <c r="D14" s="6" t="s">
        <v>515</v>
      </c>
      <c r="E14" s="6" t="s">
        <v>552</v>
      </c>
      <c r="F14" s="79" t="s">
        <v>553</v>
      </c>
      <c r="G14" s="86" t="s">
        <v>554</v>
      </c>
      <c r="H14" s="84">
        <v>3600</v>
      </c>
      <c r="I14" s="83">
        <f t="shared" si="0"/>
        <v>36</v>
      </c>
      <c r="J14" s="83"/>
      <c r="K14" s="84"/>
      <c r="L14" s="85">
        <f t="shared" si="1"/>
        <v>3600000</v>
      </c>
    </row>
    <row r="15" spans="1:12" ht="21.5" customHeight="1" x14ac:dyDescent="0.15">
      <c r="A15" s="52">
        <v>13</v>
      </c>
      <c r="B15" s="52">
        <v>20</v>
      </c>
      <c r="C15" s="87" t="s">
        <v>555</v>
      </c>
      <c r="D15" s="79" t="s">
        <v>545</v>
      </c>
      <c r="E15" s="6">
        <v>178</v>
      </c>
      <c r="F15" s="87" t="s">
        <v>556</v>
      </c>
      <c r="G15" s="86" t="s">
        <v>557</v>
      </c>
      <c r="H15" s="84">
        <v>639</v>
      </c>
      <c r="I15" s="88">
        <f t="shared" si="0"/>
        <v>6.39</v>
      </c>
      <c r="J15" s="88">
        <v>678</v>
      </c>
      <c r="K15" s="87"/>
      <c r="L15" s="85">
        <f t="shared" si="1"/>
        <v>639000</v>
      </c>
    </row>
    <row r="16" spans="1:12" ht="19" x14ac:dyDescent="0.15">
      <c r="A16" s="52">
        <v>14</v>
      </c>
      <c r="B16" s="52">
        <v>22</v>
      </c>
      <c r="C16" s="90" t="s">
        <v>558</v>
      </c>
      <c r="D16" s="79" t="s">
        <v>545</v>
      </c>
      <c r="E16" s="6">
        <v>178</v>
      </c>
      <c r="F16" s="87" t="s">
        <v>559</v>
      </c>
      <c r="G16" s="86" t="s">
        <v>560</v>
      </c>
      <c r="H16" s="84"/>
      <c r="I16" s="88">
        <f t="shared" si="0"/>
        <v>0</v>
      </c>
      <c r="J16" s="88">
        <v>67</v>
      </c>
      <c r="K16" s="87"/>
      <c r="L16" s="85">
        <f>J16*1000</f>
        <v>67000</v>
      </c>
    </row>
    <row r="17" spans="1:13" ht="19" x14ac:dyDescent="0.15">
      <c r="A17" s="52">
        <v>15</v>
      </c>
      <c r="B17" s="52">
        <v>23</v>
      </c>
      <c r="C17" s="87" t="s">
        <v>561</v>
      </c>
      <c r="D17" s="79" t="s">
        <v>545</v>
      </c>
      <c r="E17" s="6">
        <v>178</v>
      </c>
      <c r="F17" s="87" t="s">
        <v>562</v>
      </c>
      <c r="G17" s="86" t="s">
        <v>563</v>
      </c>
      <c r="H17" s="84">
        <v>1045</v>
      </c>
      <c r="I17" s="88">
        <f t="shared" si="0"/>
        <v>10.45</v>
      </c>
      <c r="J17" s="88">
        <v>892</v>
      </c>
      <c r="K17" s="87"/>
      <c r="L17" s="85">
        <f t="shared" si="1"/>
        <v>1044999.9999999999</v>
      </c>
    </row>
    <row r="18" spans="1:13" ht="38" x14ac:dyDescent="0.15">
      <c r="A18" s="52">
        <v>16</v>
      </c>
      <c r="B18" s="52">
        <v>2</v>
      </c>
      <c r="C18" s="79" t="s">
        <v>564</v>
      </c>
      <c r="D18" s="6" t="s">
        <v>538</v>
      </c>
      <c r="E18" s="6">
        <v>34</v>
      </c>
      <c r="F18" s="79" t="s">
        <v>565</v>
      </c>
      <c r="G18" s="86" t="s">
        <v>566</v>
      </c>
      <c r="H18" s="84">
        <v>42507</v>
      </c>
      <c r="I18" s="89">
        <f>H18/100</f>
        <v>425.07</v>
      </c>
      <c r="J18" s="89"/>
      <c r="K18" s="87"/>
      <c r="L18" s="85">
        <v>8000000</v>
      </c>
      <c r="M18" s="96"/>
    </row>
    <row r="19" spans="1:13" ht="19" x14ac:dyDescent="0.15">
      <c r="A19" s="52">
        <v>17</v>
      </c>
      <c r="B19" s="52">
        <v>1</v>
      </c>
      <c r="C19" s="79" t="s">
        <v>567</v>
      </c>
      <c r="D19" s="6" t="s">
        <v>538</v>
      </c>
      <c r="E19" s="6">
        <v>30</v>
      </c>
      <c r="F19" s="79" t="s">
        <v>568</v>
      </c>
      <c r="G19" s="86" t="s">
        <v>569</v>
      </c>
      <c r="H19" s="84">
        <v>14394</v>
      </c>
      <c r="I19" s="89">
        <f>H19/100</f>
        <v>143.94</v>
      </c>
      <c r="J19" s="89"/>
      <c r="K19" s="87"/>
      <c r="L19" s="85">
        <v>7000000</v>
      </c>
      <c r="M19" s="96"/>
    </row>
    <row r="20" spans="1:13" s="57" customFormat="1" ht="33.5" customHeight="1" x14ac:dyDescent="0.2">
      <c r="A20" s="52"/>
      <c r="B20" s="52"/>
      <c r="C20" s="52" t="s">
        <v>83</v>
      </c>
      <c r="D20" s="53"/>
      <c r="E20" s="53"/>
      <c r="F20" s="52"/>
      <c r="G20" s="54"/>
      <c r="H20" s="55">
        <f ca="1">SUM(H3:H29)</f>
        <v>24573</v>
      </c>
      <c r="I20" s="56">
        <f ca="1">SUM(I3:I29)</f>
        <v>245.73</v>
      </c>
      <c r="J20" s="56"/>
      <c r="K20" s="55">
        <f ca="1">SUM(K3:K29)</f>
        <v>117</v>
      </c>
      <c r="L20" s="95">
        <f>SUM(L3:L19)</f>
        <v>37980000</v>
      </c>
    </row>
    <row r="22" spans="1:13" x14ac:dyDescent="0.15">
      <c r="A22" s="40" t="s">
        <v>612</v>
      </c>
    </row>
    <row r="23" spans="1:13" ht="30" x14ac:dyDescent="0.15">
      <c r="A23" s="41" t="s">
        <v>501</v>
      </c>
      <c r="B23" s="41" t="s">
        <v>502</v>
      </c>
      <c r="C23" s="41" t="s">
        <v>503</v>
      </c>
      <c r="D23" s="41" t="s">
        <v>504</v>
      </c>
      <c r="E23" s="41" t="s">
        <v>6</v>
      </c>
      <c r="F23" s="41" t="s">
        <v>4</v>
      </c>
      <c r="G23" s="41" t="s">
        <v>505</v>
      </c>
      <c r="H23" s="41" t="s">
        <v>7</v>
      </c>
      <c r="I23" s="41" t="s">
        <v>506</v>
      </c>
      <c r="J23" s="41"/>
      <c r="K23" s="41" t="s">
        <v>508</v>
      </c>
      <c r="L23" s="41" t="s">
        <v>570</v>
      </c>
    </row>
    <row r="24" spans="1:13" ht="51" x14ac:dyDescent="0.15">
      <c r="A24" s="42">
        <v>18</v>
      </c>
      <c r="B24" s="58">
        <v>21</v>
      </c>
      <c r="C24" s="59" t="s">
        <v>571</v>
      </c>
      <c r="D24" s="60" t="s">
        <v>545</v>
      </c>
      <c r="E24" s="44">
        <v>178</v>
      </c>
      <c r="F24" s="61" t="s">
        <v>572</v>
      </c>
      <c r="G24" s="62" t="s">
        <v>573</v>
      </c>
      <c r="H24" s="63">
        <v>1013</v>
      </c>
      <c r="I24" s="64">
        <f>H24/100</f>
        <v>10.130000000000001</v>
      </c>
      <c r="J24" s="64"/>
      <c r="K24" s="61"/>
      <c r="L24" s="65"/>
      <c r="M24" s="96"/>
    </row>
    <row r="25" spans="1:13" ht="34" x14ac:dyDescent="0.15">
      <c r="A25" s="42">
        <v>19</v>
      </c>
      <c r="B25" s="58">
        <v>24</v>
      </c>
      <c r="C25" s="66" t="s">
        <v>574</v>
      </c>
      <c r="D25" s="60" t="s">
        <v>545</v>
      </c>
      <c r="E25" s="44">
        <v>178</v>
      </c>
      <c r="F25" s="61" t="s">
        <v>575</v>
      </c>
      <c r="G25" s="62" t="s">
        <v>576</v>
      </c>
      <c r="H25" s="63">
        <v>19805</v>
      </c>
      <c r="I25" s="64">
        <f>H25/100</f>
        <v>198.05</v>
      </c>
      <c r="J25" s="64"/>
      <c r="K25" s="61"/>
      <c r="L25" s="65"/>
      <c r="M25" s="96"/>
    </row>
    <row r="26" spans="1:13" ht="16" x14ac:dyDescent="0.15">
      <c r="A26" s="42">
        <v>20</v>
      </c>
      <c r="B26" s="42">
        <v>135</v>
      </c>
      <c r="C26" s="50" t="s">
        <v>577</v>
      </c>
      <c r="D26" s="44" t="s">
        <v>515</v>
      </c>
      <c r="E26" s="44">
        <v>5</v>
      </c>
      <c r="F26" s="43" t="s">
        <v>578</v>
      </c>
      <c r="G26" s="47" t="s">
        <v>579</v>
      </c>
      <c r="H26" s="45">
        <v>1011</v>
      </c>
      <c r="I26" s="51">
        <f t="shared" ref="I26:I27" si="2">H26/100</f>
        <v>10.11</v>
      </c>
      <c r="J26" s="51"/>
      <c r="K26" s="48"/>
      <c r="L26" s="46"/>
    </row>
    <row r="27" spans="1:13" ht="16" x14ac:dyDescent="0.15">
      <c r="A27" s="42">
        <v>21</v>
      </c>
      <c r="B27" s="42">
        <v>156</v>
      </c>
      <c r="C27" s="50" t="s">
        <v>580</v>
      </c>
      <c r="D27" s="44" t="s">
        <v>538</v>
      </c>
      <c r="E27" s="44">
        <v>42</v>
      </c>
      <c r="F27" s="43" t="s">
        <v>581</v>
      </c>
      <c r="G27" s="47" t="s">
        <v>582</v>
      </c>
      <c r="H27" s="45">
        <v>5308</v>
      </c>
      <c r="I27" s="51">
        <f t="shared" si="2"/>
        <v>53.08</v>
      </c>
      <c r="J27" s="51"/>
      <c r="K27" s="48"/>
      <c r="L27" s="46"/>
      <c r="M27" s="96"/>
    </row>
    <row r="28" spans="1:13" ht="16" x14ac:dyDescent="0.15">
      <c r="A28" s="42"/>
      <c r="B28" s="42"/>
      <c r="C28" s="50"/>
      <c r="D28" s="44"/>
      <c r="E28" s="44"/>
      <c r="F28" s="43"/>
      <c r="G28" s="47"/>
      <c r="H28" s="45"/>
      <c r="I28" s="51"/>
      <c r="J28" s="51"/>
      <c r="K28" s="48"/>
      <c r="L28" s="46"/>
    </row>
    <row r="29" spans="1:13" ht="16" hidden="1" x14ac:dyDescent="0.15">
      <c r="A29" s="42">
        <v>1</v>
      </c>
      <c r="B29" s="42">
        <v>28</v>
      </c>
      <c r="C29" s="67" t="s">
        <v>583</v>
      </c>
      <c r="D29" s="44" t="s">
        <v>545</v>
      </c>
      <c r="E29" s="44"/>
      <c r="F29" s="48" t="s">
        <v>584</v>
      </c>
      <c r="G29" s="47" t="s">
        <v>585</v>
      </c>
      <c r="H29" s="45">
        <v>1660</v>
      </c>
      <c r="I29" s="49">
        <f>H29/100</f>
        <v>16.600000000000001</v>
      </c>
      <c r="J29" s="49">
        <v>52</v>
      </c>
      <c r="K29" s="48">
        <v>83</v>
      </c>
      <c r="L29" s="46"/>
    </row>
    <row r="30" spans="1:13" ht="16" hidden="1" x14ac:dyDescent="0.15">
      <c r="A30" s="42">
        <v>2</v>
      </c>
      <c r="B30" s="68">
        <v>7</v>
      </c>
      <c r="C30" s="69" t="s">
        <v>586</v>
      </c>
      <c r="D30" s="70" t="s">
        <v>587</v>
      </c>
      <c r="E30" s="44" t="s">
        <v>588</v>
      </c>
      <c r="F30" s="71" t="s">
        <v>589</v>
      </c>
      <c r="G30" s="72" t="s">
        <v>590</v>
      </c>
      <c r="H30" s="73">
        <v>4144</v>
      </c>
      <c r="I30" s="74">
        <f>H30/100</f>
        <v>41.44</v>
      </c>
      <c r="J30" s="74">
        <v>1791</v>
      </c>
      <c r="K30" s="71"/>
      <c r="L30" s="65"/>
    </row>
    <row r="31" spans="1:13" ht="16" hidden="1" x14ac:dyDescent="0.15">
      <c r="A31" s="42">
        <v>3</v>
      </c>
      <c r="B31" s="75">
        <v>25</v>
      </c>
      <c r="C31" s="69" t="s">
        <v>591</v>
      </c>
      <c r="D31" s="70" t="s">
        <v>545</v>
      </c>
      <c r="E31" s="44">
        <v>178</v>
      </c>
      <c r="F31" s="71" t="s">
        <v>592</v>
      </c>
      <c r="G31" s="72" t="s">
        <v>593</v>
      </c>
      <c r="H31" s="73">
        <v>15000</v>
      </c>
      <c r="I31" s="74">
        <f t="shared" ref="I31:I32" si="3">H31/100</f>
        <v>150</v>
      </c>
      <c r="J31" s="74"/>
      <c r="K31" s="71"/>
      <c r="L31" s="65"/>
    </row>
    <row r="32" spans="1:13" ht="16" hidden="1" x14ac:dyDescent="0.15">
      <c r="A32" s="42">
        <v>4</v>
      </c>
      <c r="B32" s="75">
        <v>27</v>
      </c>
      <c r="C32" s="69" t="s">
        <v>594</v>
      </c>
      <c r="D32" s="44" t="s">
        <v>545</v>
      </c>
      <c r="E32" s="44"/>
      <c r="F32" s="71" t="s">
        <v>595</v>
      </c>
      <c r="G32" s="72" t="s">
        <v>596</v>
      </c>
      <c r="H32" s="73">
        <v>8000</v>
      </c>
      <c r="I32" s="74">
        <f t="shared" si="3"/>
        <v>80</v>
      </c>
      <c r="J32" s="74">
        <v>7628</v>
      </c>
      <c r="K32" s="71"/>
      <c r="L32" s="65"/>
    </row>
    <row r="33" spans="1:12" ht="16" hidden="1" x14ac:dyDescent="0.15">
      <c r="A33" s="42">
        <v>5</v>
      </c>
      <c r="B33" s="42">
        <v>29</v>
      </c>
      <c r="C33" s="67" t="s">
        <v>597</v>
      </c>
      <c r="D33" s="44" t="s">
        <v>538</v>
      </c>
      <c r="E33" s="44">
        <v>251</v>
      </c>
      <c r="F33" s="48" t="s">
        <v>598</v>
      </c>
      <c r="G33" s="47" t="s">
        <v>599</v>
      </c>
      <c r="H33" s="45">
        <v>45200</v>
      </c>
      <c r="I33" s="49">
        <f>H33/100</f>
        <v>452</v>
      </c>
      <c r="J33" s="49"/>
      <c r="K33" s="48"/>
      <c r="L33" s="46"/>
    </row>
    <row r="34" spans="1:12" s="77" customFormat="1" ht="18" x14ac:dyDescent="0.2">
      <c r="A34" s="52">
        <v>23</v>
      </c>
      <c r="B34" s="52"/>
      <c r="C34" s="52" t="s">
        <v>83</v>
      </c>
      <c r="D34" s="44"/>
      <c r="E34" s="44"/>
      <c r="F34" s="52"/>
      <c r="G34" s="54"/>
      <c r="H34" s="55">
        <f ca="1">SUM(H19:H27)</f>
        <v>41531</v>
      </c>
      <c r="I34" s="55">
        <f ca="1">SUM(I19:I27)</f>
        <v>415.31</v>
      </c>
      <c r="J34" s="55"/>
      <c r="K34" s="55">
        <f ca="1">SUM(K19:K27)</f>
        <v>0</v>
      </c>
      <c r="L34" s="76"/>
    </row>
  </sheetData>
  <mergeCells count="1">
    <mergeCell ref="A1:L1"/>
  </mergeCells>
  <pageMargins left="0.7" right="0.7" top="0.75" bottom="0.75" header="0.3" footer="0.3"/>
  <pageSetup paperSize="9" scale="44"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D3C6-4D96-3947-9652-5F70AA14D86D}">
  <sheetPr>
    <pageSetUpPr fitToPage="1"/>
  </sheetPr>
  <dimension ref="A1:Q191"/>
  <sheetViews>
    <sheetView topLeftCell="A37" zoomScale="120" zoomScaleNormal="120" workbookViewId="0">
      <selection activeCell="C80" sqref="C80"/>
    </sheetView>
  </sheetViews>
  <sheetFormatPr baseColWidth="10" defaultColWidth="11" defaultRowHeight="16" x14ac:dyDescent="0.2"/>
  <cols>
    <col min="1" max="1" width="4.1640625" style="1" customWidth="1"/>
    <col min="2" max="2" width="4.83203125" style="33" customWidth="1"/>
    <col min="3" max="3" width="4.83203125" style="172" customWidth="1"/>
    <col min="4" max="4" width="58.1640625" style="1" bestFit="1" customWidth="1"/>
    <col min="5" max="5" width="24.1640625" style="1" hidden="1" customWidth="1"/>
    <col min="6" max="6" width="16.5" style="1" customWidth="1"/>
    <col min="7" max="7" width="9" style="1" customWidth="1"/>
    <col min="8" max="8" width="16.1640625" style="38" customWidth="1"/>
    <col min="9" max="9" width="14.5" style="38" customWidth="1"/>
    <col min="10" max="10" width="14.83203125" style="38" customWidth="1"/>
    <col min="11" max="11" width="13" style="38" customWidth="1"/>
    <col min="12" max="12" width="10.1640625" style="38" customWidth="1"/>
    <col min="13" max="13" width="71.1640625" style="39" hidden="1" customWidth="1"/>
    <col min="14" max="14" width="13.6640625" style="1" bestFit="1" customWidth="1"/>
    <col min="15" max="15" width="14.6640625" style="1" bestFit="1" customWidth="1"/>
    <col min="16" max="16" width="11.1640625" style="1" bestFit="1" customWidth="1"/>
    <col min="17" max="17" width="13.6640625" style="1" bestFit="1" customWidth="1"/>
    <col min="18" max="16384" width="11" style="1"/>
  </cols>
  <sheetData>
    <row r="1" spans="1:17" ht="47" customHeight="1" x14ac:dyDescent="0.2">
      <c r="A1" s="164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</row>
    <row r="2" spans="1:17" s="5" customFormat="1" ht="85.25" customHeight="1" thickBot="1" x14ac:dyDescent="0.25">
      <c r="A2" s="2" t="s">
        <v>1</v>
      </c>
      <c r="B2" s="3" t="s">
        <v>2</v>
      </c>
      <c r="C2" s="176"/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600</v>
      </c>
      <c r="O2" s="4" t="s">
        <v>13</v>
      </c>
      <c r="P2" s="4"/>
      <c r="Q2" s="4"/>
    </row>
    <row r="3" spans="1:17" s="5" customFormat="1" ht="19" x14ac:dyDescent="0.2">
      <c r="A3" s="2">
        <v>1</v>
      </c>
      <c r="B3" s="174">
        <v>1</v>
      </c>
      <c r="C3" s="181">
        <v>1</v>
      </c>
      <c r="D3" s="175" t="s">
        <v>14</v>
      </c>
      <c r="E3" s="6" t="s">
        <v>15</v>
      </c>
      <c r="F3" s="7" t="s">
        <v>16</v>
      </c>
      <c r="G3" s="6">
        <v>257</v>
      </c>
      <c r="H3" s="8">
        <v>2500</v>
      </c>
      <c r="I3" s="8">
        <v>2500</v>
      </c>
      <c r="J3" s="9">
        <f>I3-H3</f>
        <v>0</v>
      </c>
      <c r="K3" s="10">
        <v>135</v>
      </c>
      <c r="L3" s="10">
        <v>31.84</v>
      </c>
      <c r="M3" s="7" t="s">
        <v>17</v>
      </c>
      <c r="N3" s="91">
        <f>I3*P3/100</f>
        <v>1750000</v>
      </c>
      <c r="O3" s="91">
        <f>K3*300</f>
        <v>40500</v>
      </c>
      <c r="P3" s="91">
        <v>70000</v>
      </c>
      <c r="Q3" s="91">
        <f>N3+O3</f>
        <v>1790500</v>
      </c>
    </row>
    <row r="4" spans="1:17" s="5" customFormat="1" ht="19" x14ac:dyDescent="0.2">
      <c r="A4" s="2">
        <v>2</v>
      </c>
      <c r="B4" s="174">
        <v>2</v>
      </c>
      <c r="C4" s="182">
        <v>1</v>
      </c>
      <c r="D4" s="175" t="s">
        <v>18</v>
      </c>
      <c r="E4" s="6" t="s">
        <v>19</v>
      </c>
      <c r="F4" s="7" t="s">
        <v>20</v>
      </c>
      <c r="G4" s="6">
        <v>259</v>
      </c>
      <c r="H4" s="11">
        <v>2400</v>
      </c>
      <c r="I4" s="10">
        <v>3200</v>
      </c>
      <c r="J4" s="9">
        <f t="shared" ref="J4:J67" si="0">I4-H4</f>
        <v>800</v>
      </c>
      <c r="K4" s="10">
        <v>675</v>
      </c>
      <c r="L4" s="10">
        <v>115.49</v>
      </c>
      <c r="M4" s="7" t="s">
        <v>21</v>
      </c>
      <c r="N4" s="91">
        <f t="shared" ref="N4:N69" si="1">I4*P4/100</f>
        <v>2240000</v>
      </c>
      <c r="O4" s="91">
        <f t="shared" ref="O4:O69" si="2">K4*300</f>
        <v>202500</v>
      </c>
      <c r="P4" s="91">
        <v>70000</v>
      </c>
      <c r="Q4" s="91">
        <f t="shared" ref="Q4:Q69" si="3">N4+O4</f>
        <v>2442500</v>
      </c>
    </row>
    <row r="5" spans="1:17" s="5" customFormat="1" ht="19" x14ac:dyDescent="0.2">
      <c r="A5" s="2">
        <v>3</v>
      </c>
      <c r="B5" s="174">
        <v>4</v>
      </c>
      <c r="C5" s="182">
        <v>1</v>
      </c>
      <c r="D5" s="175" t="s">
        <v>24</v>
      </c>
      <c r="E5" s="6" t="s">
        <v>25</v>
      </c>
      <c r="F5" s="7" t="s">
        <v>16</v>
      </c>
      <c r="G5" s="6">
        <v>261</v>
      </c>
      <c r="H5" s="11">
        <v>1390</v>
      </c>
      <c r="I5" s="10">
        <v>1390</v>
      </c>
      <c r="J5" s="9">
        <f t="shared" si="0"/>
        <v>0</v>
      </c>
      <c r="K5" s="10">
        <v>588</v>
      </c>
      <c r="L5" s="10">
        <v>231.64</v>
      </c>
      <c r="M5" s="7" t="s">
        <v>26</v>
      </c>
      <c r="N5" s="91">
        <f t="shared" si="1"/>
        <v>973000</v>
      </c>
      <c r="O5" s="91">
        <f t="shared" si="2"/>
        <v>176400</v>
      </c>
      <c r="P5" s="91">
        <v>70000</v>
      </c>
      <c r="Q5" s="91">
        <f t="shared" si="3"/>
        <v>1149400</v>
      </c>
    </row>
    <row r="6" spans="1:17" s="5" customFormat="1" ht="20" thickBot="1" x14ac:dyDescent="0.25">
      <c r="A6" s="2">
        <v>4</v>
      </c>
      <c r="B6" s="174">
        <v>5</v>
      </c>
      <c r="C6" s="183">
        <v>1</v>
      </c>
      <c r="D6" s="175" t="s">
        <v>27</v>
      </c>
      <c r="E6" s="6" t="s">
        <v>28</v>
      </c>
      <c r="F6" s="7" t="s">
        <v>16</v>
      </c>
      <c r="G6" s="6">
        <v>263</v>
      </c>
      <c r="H6" s="11">
        <v>4900</v>
      </c>
      <c r="I6" s="10">
        <v>5098</v>
      </c>
      <c r="J6" s="9">
        <f t="shared" si="0"/>
        <v>198</v>
      </c>
      <c r="K6" s="10">
        <v>311</v>
      </c>
      <c r="L6" s="10">
        <v>257.26</v>
      </c>
      <c r="M6" s="7" t="s">
        <v>29</v>
      </c>
      <c r="N6" s="91">
        <f t="shared" si="1"/>
        <v>2549000</v>
      </c>
      <c r="O6" s="91">
        <f t="shared" si="2"/>
        <v>93300</v>
      </c>
      <c r="P6" s="91">
        <v>50000</v>
      </c>
      <c r="Q6" s="91">
        <f t="shared" si="3"/>
        <v>2642300</v>
      </c>
    </row>
    <row r="7" spans="1:17" s="5" customFormat="1" ht="19" x14ac:dyDescent="0.2">
      <c r="A7" s="2">
        <v>5</v>
      </c>
      <c r="B7" s="174">
        <v>8</v>
      </c>
      <c r="C7" s="178">
        <v>2</v>
      </c>
      <c r="D7" s="175" t="s">
        <v>31</v>
      </c>
      <c r="E7" s="6" t="s">
        <v>32</v>
      </c>
      <c r="F7" s="7" t="s">
        <v>16</v>
      </c>
      <c r="G7" s="6">
        <v>275</v>
      </c>
      <c r="H7" s="11">
        <v>636</v>
      </c>
      <c r="I7" s="11">
        <v>636</v>
      </c>
      <c r="J7" s="9">
        <f t="shared" si="0"/>
        <v>0</v>
      </c>
      <c r="K7" s="10">
        <v>413</v>
      </c>
      <c r="L7" s="10">
        <v>105.19</v>
      </c>
      <c r="M7" s="7" t="s">
        <v>33</v>
      </c>
      <c r="N7" s="91">
        <f t="shared" si="1"/>
        <v>318000</v>
      </c>
      <c r="O7" s="91">
        <f t="shared" si="2"/>
        <v>123900</v>
      </c>
      <c r="P7" s="91">
        <v>50000</v>
      </c>
      <c r="Q7" s="91">
        <f t="shared" si="3"/>
        <v>441900</v>
      </c>
    </row>
    <row r="8" spans="1:17" s="5" customFormat="1" ht="19" x14ac:dyDescent="0.2">
      <c r="A8" s="2">
        <v>6</v>
      </c>
      <c r="B8" s="174">
        <v>9</v>
      </c>
      <c r="C8" s="179">
        <v>2</v>
      </c>
      <c r="D8" s="175" t="s">
        <v>34</v>
      </c>
      <c r="E8" s="6" t="s">
        <v>35</v>
      </c>
      <c r="F8" s="7" t="s">
        <v>16</v>
      </c>
      <c r="G8" s="6" t="s">
        <v>36</v>
      </c>
      <c r="H8" s="11">
        <v>398</v>
      </c>
      <c r="I8" s="11">
        <v>398</v>
      </c>
      <c r="J8" s="9">
        <f t="shared" si="0"/>
        <v>0</v>
      </c>
      <c r="K8" s="10">
        <v>134</v>
      </c>
      <c r="L8" s="10">
        <v>66.010000000000005</v>
      </c>
      <c r="M8" s="7" t="s">
        <v>37</v>
      </c>
      <c r="N8" s="91">
        <f t="shared" si="1"/>
        <v>199000</v>
      </c>
      <c r="O8" s="91">
        <f t="shared" si="2"/>
        <v>40200</v>
      </c>
      <c r="P8" s="91">
        <v>50000</v>
      </c>
      <c r="Q8" s="91">
        <f t="shared" si="3"/>
        <v>239200</v>
      </c>
    </row>
    <row r="9" spans="1:17" s="5" customFormat="1" ht="19" x14ac:dyDescent="0.2">
      <c r="A9" s="2">
        <v>7</v>
      </c>
      <c r="B9" s="174">
        <v>10</v>
      </c>
      <c r="C9" s="179">
        <v>2</v>
      </c>
      <c r="D9" s="175" t="s">
        <v>38</v>
      </c>
      <c r="E9" s="6" t="s">
        <v>39</v>
      </c>
      <c r="F9" s="7" t="s">
        <v>16</v>
      </c>
      <c r="G9" s="6" t="s">
        <v>40</v>
      </c>
      <c r="H9" s="11">
        <v>300</v>
      </c>
      <c r="I9" s="11">
        <v>300</v>
      </c>
      <c r="J9" s="9">
        <f t="shared" si="0"/>
        <v>0</v>
      </c>
      <c r="K9" s="10">
        <v>117</v>
      </c>
      <c r="L9" s="10">
        <v>52.72</v>
      </c>
      <c r="M9" s="7" t="s">
        <v>41</v>
      </c>
      <c r="N9" s="91">
        <f t="shared" si="1"/>
        <v>150000</v>
      </c>
      <c r="O9" s="91">
        <f t="shared" si="2"/>
        <v>35100</v>
      </c>
      <c r="P9" s="91">
        <v>50000</v>
      </c>
      <c r="Q9" s="91">
        <f t="shared" si="3"/>
        <v>185100</v>
      </c>
    </row>
    <row r="10" spans="1:17" s="5" customFormat="1" ht="19" x14ac:dyDescent="0.2">
      <c r="A10" s="2">
        <v>8</v>
      </c>
      <c r="B10" s="174">
        <v>11</v>
      </c>
      <c r="C10" s="179">
        <v>2</v>
      </c>
      <c r="D10" s="175" t="s">
        <v>42</v>
      </c>
      <c r="E10" s="6" t="s">
        <v>43</v>
      </c>
      <c r="F10" s="7" t="s">
        <v>16</v>
      </c>
      <c r="G10" s="6" t="s">
        <v>44</v>
      </c>
      <c r="H10" s="11">
        <v>391</v>
      </c>
      <c r="I10" s="11">
        <v>391</v>
      </c>
      <c r="J10" s="9">
        <f t="shared" si="0"/>
        <v>0</v>
      </c>
      <c r="K10" s="10">
        <v>233</v>
      </c>
      <c r="L10" s="10">
        <v>89.46</v>
      </c>
      <c r="M10" s="7" t="s">
        <v>45</v>
      </c>
      <c r="N10" s="91">
        <f t="shared" si="1"/>
        <v>195500</v>
      </c>
      <c r="O10" s="91">
        <f t="shared" si="2"/>
        <v>69900</v>
      </c>
      <c r="P10" s="91">
        <v>50000</v>
      </c>
      <c r="Q10" s="91">
        <f t="shared" si="3"/>
        <v>265400</v>
      </c>
    </row>
    <row r="11" spans="1:17" s="5" customFormat="1" ht="19" x14ac:dyDescent="0.2">
      <c r="A11" s="2">
        <v>9</v>
      </c>
      <c r="B11" s="174">
        <v>12</v>
      </c>
      <c r="C11" s="179">
        <v>2</v>
      </c>
      <c r="D11" s="175" t="s">
        <v>46</v>
      </c>
      <c r="E11" s="6" t="s">
        <v>47</v>
      </c>
      <c r="F11" s="7" t="s">
        <v>16</v>
      </c>
      <c r="G11" s="6" t="s">
        <v>48</v>
      </c>
      <c r="H11" s="11">
        <v>845</v>
      </c>
      <c r="I11" s="11">
        <v>845</v>
      </c>
      <c r="J11" s="9">
        <f t="shared" si="0"/>
        <v>0</v>
      </c>
      <c r="K11" s="10">
        <v>276</v>
      </c>
      <c r="L11" s="10">
        <v>80.59</v>
      </c>
      <c r="M11" s="7" t="s">
        <v>41</v>
      </c>
      <c r="N11" s="91">
        <f t="shared" si="1"/>
        <v>422500</v>
      </c>
      <c r="O11" s="91">
        <f t="shared" si="2"/>
        <v>82800</v>
      </c>
      <c r="P11" s="91">
        <v>50000</v>
      </c>
      <c r="Q11" s="91">
        <f t="shared" si="3"/>
        <v>505300</v>
      </c>
    </row>
    <row r="12" spans="1:17" s="5" customFormat="1" ht="19" x14ac:dyDescent="0.2">
      <c r="A12" s="2">
        <v>10</v>
      </c>
      <c r="B12" s="174">
        <v>13</v>
      </c>
      <c r="C12" s="179">
        <v>2</v>
      </c>
      <c r="D12" s="175" t="s">
        <v>49</v>
      </c>
      <c r="E12" s="6" t="s">
        <v>50</v>
      </c>
      <c r="F12" s="7" t="s">
        <v>16</v>
      </c>
      <c r="G12" s="6" t="s">
        <v>51</v>
      </c>
      <c r="H12" s="11">
        <v>600</v>
      </c>
      <c r="I12" s="10">
        <v>659</v>
      </c>
      <c r="J12" s="9">
        <f t="shared" si="0"/>
        <v>59</v>
      </c>
      <c r="K12" s="10">
        <v>22</v>
      </c>
      <c r="L12" s="10">
        <v>16.239999999999998</v>
      </c>
      <c r="M12" s="7" t="s">
        <v>52</v>
      </c>
      <c r="N12" s="91">
        <f t="shared" si="1"/>
        <v>329500</v>
      </c>
      <c r="O12" s="91">
        <f t="shared" si="2"/>
        <v>6600</v>
      </c>
      <c r="P12" s="91">
        <v>50000</v>
      </c>
      <c r="Q12" s="91">
        <f t="shared" si="3"/>
        <v>336100</v>
      </c>
    </row>
    <row r="13" spans="1:17" s="5" customFormat="1" ht="19" x14ac:dyDescent="0.2">
      <c r="A13" s="2">
        <v>11</v>
      </c>
      <c r="B13" s="174">
        <v>14</v>
      </c>
      <c r="C13" s="179">
        <v>2</v>
      </c>
      <c r="D13" s="175" t="s">
        <v>53</v>
      </c>
      <c r="E13" s="6" t="s">
        <v>54</v>
      </c>
      <c r="F13" s="7" t="s">
        <v>16</v>
      </c>
      <c r="G13" s="6">
        <v>277</v>
      </c>
      <c r="H13" s="11">
        <v>754</v>
      </c>
      <c r="I13" s="10">
        <v>779</v>
      </c>
      <c r="J13" s="9">
        <f t="shared" si="0"/>
        <v>25</v>
      </c>
      <c r="K13" s="10">
        <v>470</v>
      </c>
      <c r="L13" s="10">
        <v>217.57</v>
      </c>
      <c r="M13" s="7" t="s">
        <v>55</v>
      </c>
      <c r="N13" s="91">
        <f t="shared" si="1"/>
        <v>623200</v>
      </c>
      <c r="O13" s="91">
        <f t="shared" si="2"/>
        <v>141000</v>
      </c>
      <c r="P13" s="91">
        <v>80000</v>
      </c>
      <c r="Q13" s="91">
        <f t="shared" si="3"/>
        <v>764200</v>
      </c>
    </row>
    <row r="14" spans="1:17" s="5" customFormat="1" ht="19" x14ac:dyDescent="0.2">
      <c r="A14" s="2">
        <v>12</v>
      </c>
      <c r="B14" s="174">
        <v>15</v>
      </c>
      <c r="C14" s="179">
        <v>2</v>
      </c>
      <c r="D14" s="175" t="s">
        <v>56</v>
      </c>
      <c r="E14" s="6" t="s">
        <v>57</v>
      </c>
      <c r="F14" s="7" t="s">
        <v>16</v>
      </c>
      <c r="G14" s="6" t="s">
        <v>58</v>
      </c>
      <c r="H14" s="11">
        <v>535</v>
      </c>
      <c r="I14" s="11">
        <v>535</v>
      </c>
      <c r="J14" s="9">
        <f t="shared" si="0"/>
        <v>0</v>
      </c>
      <c r="K14" s="10">
        <v>222</v>
      </c>
      <c r="L14" s="10">
        <v>85.84</v>
      </c>
      <c r="M14" s="7" t="s">
        <v>59</v>
      </c>
      <c r="N14" s="91">
        <f t="shared" si="1"/>
        <v>428000</v>
      </c>
      <c r="O14" s="91">
        <f t="shared" si="2"/>
        <v>66600</v>
      </c>
      <c r="P14" s="91">
        <v>80000</v>
      </c>
      <c r="Q14" s="91">
        <f t="shared" si="3"/>
        <v>494600</v>
      </c>
    </row>
    <row r="15" spans="1:17" s="5" customFormat="1" ht="19" x14ac:dyDescent="0.2">
      <c r="A15" s="2">
        <v>13</v>
      </c>
      <c r="B15" s="174">
        <v>16</v>
      </c>
      <c r="C15" s="179">
        <v>2</v>
      </c>
      <c r="D15" s="175" t="s">
        <v>60</v>
      </c>
      <c r="E15" s="6" t="s">
        <v>61</v>
      </c>
      <c r="F15" s="7" t="s">
        <v>16</v>
      </c>
      <c r="G15" s="6">
        <v>281</v>
      </c>
      <c r="H15" s="11">
        <v>1093</v>
      </c>
      <c r="I15" s="11">
        <v>1093</v>
      </c>
      <c r="J15" s="9">
        <f t="shared" si="0"/>
        <v>0</v>
      </c>
      <c r="K15" s="10">
        <v>460</v>
      </c>
      <c r="L15" s="10">
        <v>182.68</v>
      </c>
      <c r="M15" s="7" t="s">
        <v>62</v>
      </c>
      <c r="N15" s="91">
        <f t="shared" si="1"/>
        <v>546500</v>
      </c>
      <c r="O15" s="91">
        <f t="shared" si="2"/>
        <v>138000</v>
      </c>
      <c r="P15" s="91">
        <v>50000</v>
      </c>
      <c r="Q15" s="91">
        <f t="shared" si="3"/>
        <v>684500</v>
      </c>
    </row>
    <row r="16" spans="1:17" s="5" customFormat="1" ht="19" x14ac:dyDescent="0.2">
      <c r="A16" s="2">
        <v>14</v>
      </c>
      <c r="B16" s="174">
        <v>17</v>
      </c>
      <c r="C16" s="179">
        <v>2</v>
      </c>
      <c r="D16" s="175" t="s">
        <v>63</v>
      </c>
      <c r="E16" s="6" t="s">
        <v>64</v>
      </c>
      <c r="F16" s="7" t="s">
        <v>16</v>
      </c>
      <c r="G16" s="6">
        <v>279</v>
      </c>
      <c r="H16" s="11">
        <v>1265</v>
      </c>
      <c r="I16" s="10">
        <v>2509</v>
      </c>
      <c r="J16" s="9">
        <f t="shared" si="0"/>
        <v>1244</v>
      </c>
      <c r="K16" s="10">
        <v>653</v>
      </c>
      <c r="L16" s="10">
        <v>68.489999999999995</v>
      </c>
      <c r="M16" s="7" t="s">
        <v>65</v>
      </c>
      <c r="N16" s="91">
        <f t="shared" si="1"/>
        <v>1630850</v>
      </c>
      <c r="O16" s="91">
        <f t="shared" si="2"/>
        <v>195900</v>
      </c>
      <c r="P16" s="91">
        <v>65000</v>
      </c>
      <c r="Q16" s="91">
        <f t="shared" si="3"/>
        <v>1826750</v>
      </c>
    </row>
    <row r="17" spans="1:17" s="5" customFormat="1" ht="38" x14ac:dyDescent="0.2">
      <c r="A17" s="2">
        <v>15</v>
      </c>
      <c r="B17" s="174">
        <v>18</v>
      </c>
      <c r="C17" s="179">
        <v>2</v>
      </c>
      <c r="D17" s="175" t="s">
        <v>66</v>
      </c>
      <c r="E17" s="6" t="s">
        <v>67</v>
      </c>
      <c r="F17" s="7" t="s">
        <v>16</v>
      </c>
      <c r="G17" s="6" t="s">
        <v>68</v>
      </c>
      <c r="H17" s="11">
        <v>600</v>
      </c>
      <c r="I17" s="11">
        <v>600</v>
      </c>
      <c r="J17" s="9">
        <f t="shared" si="0"/>
        <v>0</v>
      </c>
      <c r="K17" s="10">
        <v>167</v>
      </c>
      <c r="L17" s="10">
        <v>30.53</v>
      </c>
      <c r="M17" s="7" t="s">
        <v>69</v>
      </c>
      <c r="N17" s="91">
        <f t="shared" si="1"/>
        <v>480000</v>
      </c>
      <c r="O17" s="91">
        <f t="shared" si="2"/>
        <v>50100</v>
      </c>
      <c r="P17" s="91">
        <v>80000</v>
      </c>
      <c r="Q17" s="91">
        <f t="shared" si="3"/>
        <v>530100</v>
      </c>
    </row>
    <row r="18" spans="1:17" s="5" customFormat="1" ht="19" x14ac:dyDescent="0.2">
      <c r="A18" s="2">
        <v>16</v>
      </c>
      <c r="B18" s="174">
        <v>19</v>
      </c>
      <c r="C18" s="179">
        <v>2</v>
      </c>
      <c r="D18" s="175" t="s">
        <v>70</v>
      </c>
      <c r="E18" s="6" t="s">
        <v>71</v>
      </c>
      <c r="F18" s="7" t="s">
        <v>16</v>
      </c>
      <c r="G18" s="6">
        <v>283</v>
      </c>
      <c r="H18" s="11">
        <v>2114</v>
      </c>
      <c r="I18" s="11">
        <v>2114</v>
      </c>
      <c r="J18" s="9">
        <f t="shared" si="0"/>
        <v>0</v>
      </c>
      <c r="K18" s="10">
        <v>556</v>
      </c>
      <c r="L18" s="10">
        <v>233.3</v>
      </c>
      <c r="M18" s="7" t="s">
        <v>72</v>
      </c>
      <c r="N18" s="91">
        <f t="shared" si="1"/>
        <v>1057000</v>
      </c>
      <c r="O18" s="91">
        <f t="shared" si="2"/>
        <v>166800</v>
      </c>
      <c r="P18" s="91">
        <v>50000</v>
      </c>
      <c r="Q18" s="91">
        <f t="shared" si="3"/>
        <v>1223800</v>
      </c>
    </row>
    <row r="19" spans="1:17" s="5" customFormat="1" ht="20" thickBot="1" x14ac:dyDescent="0.25">
      <c r="A19" s="2">
        <v>17</v>
      </c>
      <c r="B19" s="174">
        <v>26</v>
      </c>
      <c r="C19" s="180">
        <v>2</v>
      </c>
      <c r="D19" s="175" t="s">
        <v>73</v>
      </c>
      <c r="E19" s="6" t="s">
        <v>74</v>
      </c>
      <c r="F19" s="7" t="s">
        <v>75</v>
      </c>
      <c r="G19" s="6">
        <v>244</v>
      </c>
      <c r="H19" s="11">
        <v>1010</v>
      </c>
      <c r="I19" s="11">
        <v>1010</v>
      </c>
      <c r="J19" s="9">
        <f t="shared" si="0"/>
        <v>0</v>
      </c>
      <c r="K19" s="10">
        <v>228</v>
      </c>
      <c r="L19" s="10">
        <v>76.5</v>
      </c>
      <c r="M19" s="7" t="s">
        <v>76</v>
      </c>
      <c r="N19" s="91">
        <f t="shared" si="1"/>
        <v>505000</v>
      </c>
      <c r="O19" s="91">
        <f t="shared" si="2"/>
        <v>68400</v>
      </c>
      <c r="P19" s="91">
        <v>50000</v>
      </c>
      <c r="Q19" s="91">
        <f t="shared" si="3"/>
        <v>573400</v>
      </c>
    </row>
    <row r="20" spans="1:17" s="5" customFormat="1" ht="19" x14ac:dyDescent="0.2">
      <c r="A20" s="2">
        <v>18</v>
      </c>
      <c r="B20" s="174"/>
      <c r="C20" s="185">
        <v>3</v>
      </c>
      <c r="D20" s="175" t="s">
        <v>77</v>
      </c>
      <c r="E20" s="6" t="s">
        <v>78</v>
      </c>
      <c r="F20" s="7" t="s">
        <v>79</v>
      </c>
      <c r="G20" s="6">
        <v>180</v>
      </c>
      <c r="H20" s="11">
        <v>1020</v>
      </c>
      <c r="I20" s="11">
        <v>1020</v>
      </c>
      <c r="J20" s="9"/>
      <c r="K20" s="10">
        <v>390</v>
      </c>
      <c r="L20" s="10"/>
      <c r="M20" s="7"/>
      <c r="N20" s="91">
        <f t="shared" si="1"/>
        <v>510000</v>
      </c>
      <c r="O20" s="91">
        <f t="shared" si="2"/>
        <v>117000</v>
      </c>
      <c r="P20" s="91">
        <v>50000</v>
      </c>
      <c r="Q20" s="91">
        <f t="shared" si="3"/>
        <v>627000</v>
      </c>
    </row>
    <row r="21" spans="1:17" s="5" customFormat="1" ht="20" thickBot="1" x14ac:dyDescent="0.25">
      <c r="A21" s="2">
        <v>19</v>
      </c>
      <c r="B21" s="174"/>
      <c r="C21" s="186">
        <v>3</v>
      </c>
      <c r="D21" s="175" t="s">
        <v>80</v>
      </c>
      <c r="E21" s="6" t="s">
        <v>81</v>
      </c>
      <c r="F21" s="7" t="s">
        <v>79</v>
      </c>
      <c r="G21" s="6" t="s">
        <v>82</v>
      </c>
      <c r="H21" s="11"/>
      <c r="I21" s="11"/>
      <c r="J21" s="9"/>
      <c r="K21" s="10">
        <v>236</v>
      </c>
      <c r="L21" s="10"/>
      <c r="M21" s="7"/>
      <c r="N21" s="91">
        <f t="shared" si="1"/>
        <v>0</v>
      </c>
      <c r="O21" s="91">
        <f t="shared" si="2"/>
        <v>70800</v>
      </c>
      <c r="P21" s="91">
        <v>50000</v>
      </c>
      <c r="Q21" s="91">
        <f t="shared" si="3"/>
        <v>70800</v>
      </c>
    </row>
    <row r="22" spans="1:17" s="5" customFormat="1" ht="19" x14ac:dyDescent="0.2">
      <c r="A22" s="2"/>
      <c r="B22" s="6"/>
      <c r="C22" s="177"/>
      <c r="D22" s="12" t="s">
        <v>22</v>
      </c>
      <c r="E22" s="6"/>
      <c r="F22" s="7" t="s">
        <v>16</v>
      </c>
      <c r="G22" s="6" t="s">
        <v>23</v>
      </c>
      <c r="H22" s="11">
        <v>428</v>
      </c>
      <c r="I22" s="9">
        <f>H22</f>
        <v>428</v>
      </c>
      <c r="J22" s="9">
        <f>I22-H22</f>
        <v>0</v>
      </c>
      <c r="K22" s="10"/>
      <c r="L22" s="10"/>
      <c r="M22" s="7"/>
      <c r="N22" s="91"/>
      <c r="O22" s="91"/>
      <c r="P22" s="91"/>
      <c r="Q22" s="91"/>
    </row>
    <row r="23" spans="1:17" s="5" customFormat="1" ht="19" x14ac:dyDescent="0.2">
      <c r="A23" s="2"/>
      <c r="B23" s="6"/>
      <c r="C23" s="168"/>
      <c r="D23" s="12" t="s">
        <v>30</v>
      </c>
      <c r="E23" s="6"/>
      <c r="F23" s="7" t="s">
        <v>16</v>
      </c>
      <c r="G23" s="6">
        <v>271</v>
      </c>
      <c r="H23" s="11">
        <v>2214</v>
      </c>
      <c r="I23" s="9">
        <f>H23</f>
        <v>2214</v>
      </c>
      <c r="J23" s="9">
        <f>I23-H23</f>
        <v>0</v>
      </c>
      <c r="K23" s="10"/>
      <c r="L23" s="10"/>
      <c r="M23" s="7"/>
      <c r="N23" s="91"/>
      <c r="O23" s="91"/>
      <c r="P23" s="91"/>
      <c r="Q23" s="91"/>
    </row>
    <row r="24" spans="1:17" s="5" customFormat="1" x14ac:dyDescent="0.2">
      <c r="A24" s="2"/>
      <c r="B24" s="2"/>
      <c r="C24" s="169"/>
      <c r="D24" s="162" t="s">
        <v>83</v>
      </c>
      <c r="E24" s="162"/>
      <c r="F24" s="2"/>
      <c r="G24" s="2"/>
      <c r="H24" s="13">
        <f>SUM(H3:H19)</f>
        <v>21731</v>
      </c>
      <c r="I24" s="13">
        <f>SUM(I3:I19)</f>
        <v>24057</v>
      </c>
      <c r="J24" s="13">
        <f>SUM(J3:J19)</f>
        <v>2326</v>
      </c>
      <c r="K24" s="13">
        <f>SUM(K3:K19)</f>
        <v>5660</v>
      </c>
      <c r="L24" s="13">
        <f>SUM(L3:L19)</f>
        <v>1941.35</v>
      </c>
      <c r="M24" s="14"/>
      <c r="N24" s="92">
        <f>SUM(N3:N21)</f>
        <v>14907050</v>
      </c>
      <c r="O24" s="92">
        <f>SUM(O3:O21)</f>
        <v>1885800</v>
      </c>
      <c r="P24" s="92"/>
      <c r="Q24" s="92">
        <f t="shared" si="3"/>
        <v>16792850</v>
      </c>
    </row>
    <row r="25" spans="1:17" s="5" customFormat="1" x14ac:dyDescent="0.15">
      <c r="A25" s="2"/>
      <c r="B25" s="2"/>
      <c r="C25" s="169"/>
      <c r="D25" s="2"/>
      <c r="E25" s="2"/>
      <c r="F25" s="2"/>
      <c r="G25" s="2"/>
      <c r="H25" s="14"/>
      <c r="I25" s="14"/>
      <c r="J25" s="15">
        <f t="shared" si="0"/>
        <v>0</v>
      </c>
      <c r="K25" s="14"/>
      <c r="L25" s="14"/>
      <c r="M25" s="14"/>
      <c r="N25" s="91"/>
      <c r="O25" s="91"/>
      <c r="P25" s="91">
        <v>50000</v>
      </c>
      <c r="Q25" s="91">
        <f t="shared" si="3"/>
        <v>0</v>
      </c>
    </row>
    <row r="26" spans="1:17" x14ac:dyDescent="0.2">
      <c r="A26" s="2">
        <v>20</v>
      </c>
      <c r="B26" s="16">
        <v>3</v>
      </c>
      <c r="C26" s="170">
        <v>10</v>
      </c>
      <c r="D26" s="17" t="s">
        <v>84</v>
      </c>
      <c r="E26" s="17" t="s">
        <v>85</v>
      </c>
      <c r="F26" s="17" t="s">
        <v>16</v>
      </c>
      <c r="G26" s="18" t="s">
        <v>86</v>
      </c>
      <c r="H26" s="19">
        <v>487</v>
      </c>
      <c r="I26" s="19">
        <v>487</v>
      </c>
      <c r="J26" s="15">
        <f t="shared" si="0"/>
        <v>0</v>
      </c>
      <c r="K26" s="20">
        <v>220</v>
      </c>
      <c r="L26" s="20">
        <v>36.4</v>
      </c>
      <c r="M26" s="21" t="s">
        <v>87</v>
      </c>
      <c r="N26" s="91">
        <f t="shared" si="1"/>
        <v>243500</v>
      </c>
      <c r="O26" s="91">
        <f t="shared" si="2"/>
        <v>66000</v>
      </c>
      <c r="P26" s="91">
        <v>50000</v>
      </c>
      <c r="Q26" s="91">
        <f t="shared" si="3"/>
        <v>309500</v>
      </c>
    </row>
    <row r="27" spans="1:17" x14ac:dyDescent="0.2">
      <c r="A27" s="2">
        <v>21</v>
      </c>
      <c r="B27" s="16">
        <v>4</v>
      </c>
      <c r="C27" s="170">
        <v>10</v>
      </c>
      <c r="D27" s="17" t="s">
        <v>88</v>
      </c>
      <c r="E27" s="17" t="s">
        <v>89</v>
      </c>
      <c r="F27" s="17" t="s">
        <v>16</v>
      </c>
      <c r="G27" s="18">
        <v>65</v>
      </c>
      <c r="H27" s="19">
        <v>600</v>
      </c>
      <c r="I27" s="20">
        <v>591</v>
      </c>
      <c r="J27" s="15">
        <f t="shared" si="0"/>
        <v>-9</v>
      </c>
      <c r="K27" s="20">
        <v>110</v>
      </c>
      <c r="L27" s="20">
        <v>11.2</v>
      </c>
      <c r="M27" s="21" t="s">
        <v>90</v>
      </c>
      <c r="N27" s="91">
        <f t="shared" si="1"/>
        <v>295500</v>
      </c>
      <c r="O27" s="91">
        <f t="shared" si="2"/>
        <v>33000</v>
      </c>
      <c r="P27" s="91">
        <v>50000</v>
      </c>
      <c r="Q27" s="91">
        <f t="shared" si="3"/>
        <v>328500</v>
      </c>
    </row>
    <row r="28" spans="1:17" x14ac:dyDescent="0.2">
      <c r="A28" s="2">
        <v>22</v>
      </c>
      <c r="B28" s="16">
        <v>5</v>
      </c>
      <c r="C28" s="170">
        <v>9</v>
      </c>
      <c r="D28" s="17" t="s">
        <v>91</v>
      </c>
      <c r="E28" s="17" t="s">
        <v>92</v>
      </c>
      <c r="F28" s="17" t="s">
        <v>16</v>
      </c>
      <c r="G28" s="18">
        <v>67</v>
      </c>
      <c r="H28" s="19">
        <v>600</v>
      </c>
      <c r="I28" s="19">
        <v>600</v>
      </c>
      <c r="J28" s="15">
        <f t="shared" si="0"/>
        <v>0</v>
      </c>
      <c r="K28" s="20">
        <v>407</v>
      </c>
      <c r="L28" s="20">
        <v>201.6</v>
      </c>
      <c r="M28" s="21" t="s">
        <v>93</v>
      </c>
      <c r="N28" s="91">
        <f t="shared" si="1"/>
        <v>300000</v>
      </c>
      <c r="O28" s="91">
        <f t="shared" si="2"/>
        <v>122100</v>
      </c>
      <c r="P28" s="91">
        <v>50000</v>
      </c>
      <c r="Q28" s="91">
        <f t="shared" si="3"/>
        <v>422100</v>
      </c>
    </row>
    <row r="29" spans="1:17" x14ac:dyDescent="0.2">
      <c r="A29" s="2">
        <v>23</v>
      </c>
      <c r="B29" s="16">
        <v>6</v>
      </c>
      <c r="C29" s="170">
        <v>10</v>
      </c>
      <c r="D29" s="17" t="s">
        <v>94</v>
      </c>
      <c r="E29" s="17" t="s">
        <v>95</v>
      </c>
      <c r="F29" s="17" t="s">
        <v>16</v>
      </c>
      <c r="G29" s="18">
        <v>69</v>
      </c>
      <c r="H29" s="19">
        <v>941</v>
      </c>
      <c r="I29" s="19">
        <v>941</v>
      </c>
      <c r="J29" s="15">
        <f t="shared" si="0"/>
        <v>0</v>
      </c>
      <c r="K29" s="20">
        <v>340</v>
      </c>
      <c r="L29" s="20">
        <v>130.68</v>
      </c>
      <c r="M29" s="21" t="s">
        <v>96</v>
      </c>
      <c r="N29" s="91">
        <f t="shared" si="1"/>
        <v>470500</v>
      </c>
      <c r="O29" s="91">
        <f t="shared" si="2"/>
        <v>102000</v>
      </c>
      <c r="P29" s="91">
        <v>50000</v>
      </c>
      <c r="Q29" s="91">
        <f t="shared" si="3"/>
        <v>572500</v>
      </c>
    </row>
    <row r="30" spans="1:17" x14ac:dyDescent="0.2">
      <c r="A30" s="2">
        <v>24</v>
      </c>
      <c r="B30" s="16">
        <v>7</v>
      </c>
      <c r="C30" s="170">
        <v>10</v>
      </c>
      <c r="D30" s="17" t="s">
        <v>97</v>
      </c>
      <c r="E30" s="17" t="s">
        <v>98</v>
      </c>
      <c r="F30" s="17" t="s">
        <v>16</v>
      </c>
      <c r="G30" s="18">
        <v>71</v>
      </c>
      <c r="H30" s="19">
        <v>482</v>
      </c>
      <c r="I30" s="19">
        <v>482</v>
      </c>
      <c r="J30" s="15">
        <f t="shared" si="0"/>
        <v>0</v>
      </c>
      <c r="K30" s="20">
        <v>350</v>
      </c>
      <c r="L30" s="20">
        <v>164.96</v>
      </c>
      <c r="M30" s="21" t="s">
        <v>99</v>
      </c>
      <c r="N30" s="91">
        <f t="shared" si="1"/>
        <v>241000</v>
      </c>
      <c r="O30" s="91">
        <f t="shared" si="2"/>
        <v>105000</v>
      </c>
      <c r="P30" s="91">
        <v>50000</v>
      </c>
      <c r="Q30" s="91">
        <f t="shared" si="3"/>
        <v>346000</v>
      </c>
    </row>
    <row r="31" spans="1:17" x14ac:dyDescent="0.2">
      <c r="A31" s="2">
        <v>25</v>
      </c>
      <c r="B31" s="16">
        <v>8</v>
      </c>
      <c r="C31" s="170">
        <v>10</v>
      </c>
      <c r="D31" s="17" t="s">
        <v>100</v>
      </c>
      <c r="E31" s="17" t="s">
        <v>101</v>
      </c>
      <c r="F31" s="17" t="s">
        <v>16</v>
      </c>
      <c r="G31" s="18">
        <v>73</v>
      </c>
      <c r="H31" s="19">
        <v>837</v>
      </c>
      <c r="I31" s="19">
        <v>837</v>
      </c>
      <c r="J31" s="15">
        <f t="shared" si="0"/>
        <v>0</v>
      </c>
      <c r="K31" s="20">
        <v>339</v>
      </c>
      <c r="L31" s="20">
        <v>197.16</v>
      </c>
      <c r="M31" s="21" t="s">
        <v>102</v>
      </c>
      <c r="N31" s="91">
        <f t="shared" si="1"/>
        <v>418500</v>
      </c>
      <c r="O31" s="91">
        <f t="shared" si="2"/>
        <v>101700</v>
      </c>
      <c r="P31" s="91">
        <v>50000</v>
      </c>
      <c r="Q31" s="91">
        <f t="shared" si="3"/>
        <v>520200</v>
      </c>
    </row>
    <row r="32" spans="1:17" x14ac:dyDescent="0.2">
      <c r="A32" s="2">
        <v>26</v>
      </c>
      <c r="B32" s="16">
        <v>9</v>
      </c>
      <c r="C32" s="170">
        <v>10</v>
      </c>
      <c r="D32" s="17" t="s">
        <v>103</v>
      </c>
      <c r="E32" s="17" t="s">
        <v>104</v>
      </c>
      <c r="F32" s="17" t="s">
        <v>16</v>
      </c>
      <c r="G32" s="18" t="s">
        <v>105</v>
      </c>
      <c r="H32" s="19">
        <v>600</v>
      </c>
      <c r="I32" s="20">
        <v>582</v>
      </c>
      <c r="J32" s="15">
        <f t="shared" si="0"/>
        <v>-18</v>
      </c>
      <c r="K32" s="20">
        <v>353</v>
      </c>
      <c r="L32" s="20">
        <v>83.64</v>
      </c>
      <c r="M32" s="21" t="s">
        <v>106</v>
      </c>
      <c r="N32" s="91">
        <f t="shared" si="1"/>
        <v>291000</v>
      </c>
      <c r="O32" s="91">
        <f t="shared" si="2"/>
        <v>105900</v>
      </c>
      <c r="P32" s="91">
        <v>50000</v>
      </c>
      <c r="Q32" s="91">
        <f t="shared" si="3"/>
        <v>396900</v>
      </c>
    </row>
    <row r="33" spans="1:17" x14ac:dyDescent="0.2">
      <c r="A33" s="2">
        <v>27</v>
      </c>
      <c r="B33" s="16">
        <v>10</v>
      </c>
      <c r="C33" s="170">
        <v>10</v>
      </c>
      <c r="D33" s="17" t="s">
        <v>107</v>
      </c>
      <c r="E33" s="17" t="s">
        <v>108</v>
      </c>
      <c r="F33" s="17" t="s">
        <v>16</v>
      </c>
      <c r="G33" s="18">
        <v>61</v>
      </c>
      <c r="H33" s="19">
        <v>600</v>
      </c>
      <c r="I33" s="20">
        <v>598</v>
      </c>
      <c r="J33" s="15">
        <f t="shared" si="0"/>
        <v>-2</v>
      </c>
      <c r="K33" s="20">
        <v>163</v>
      </c>
      <c r="L33" s="20">
        <v>73.41</v>
      </c>
      <c r="M33" s="21" t="s">
        <v>109</v>
      </c>
      <c r="N33" s="91">
        <f t="shared" si="1"/>
        <v>299000</v>
      </c>
      <c r="O33" s="91">
        <f t="shared" si="2"/>
        <v>48900</v>
      </c>
      <c r="P33" s="91">
        <v>50000</v>
      </c>
      <c r="Q33" s="91">
        <f t="shared" si="3"/>
        <v>347900</v>
      </c>
    </row>
    <row r="34" spans="1:17" x14ac:dyDescent="0.2">
      <c r="A34" s="2">
        <v>28</v>
      </c>
      <c r="B34" s="16">
        <v>11</v>
      </c>
      <c r="C34" s="170">
        <v>10</v>
      </c>
      <c r="D34" s="17" t="s">
        <v>84</v>
      </c>
      <c r="E34" s="17" t="s">
        <v>110</v>
      </c>
      <c r="F34" s="17" t="s">
        <v>16</v>
      </c>
      <c r="G34" s="18">
        <v>75</v>
      </c>
      <c r="H34" s="19">
        <v>888</v>
      </c>
      <c r="I34" s="19">
        <v>888</v>
      </c>
      <c r="J34" s="15">
        <f t="shared" si="0"/>
        <v>0</v>
      </c>
      <c r="K34" s="20">
        <v>504</v>
      </c>
      <c r="L34" s="20">
        <v>228.01</v>
      </c>
      <c r="M34" s="21" t="s">
        <v>111</v>
      </c>
      <c r="N34" s="91">
        <f t="shared" si="1"/>
        <v>444000</v>
      </c>
      <c r="O34" s="91">
        <f t="shared" si="2"/>
        <v>151200</v>
      </c>
      <c r="P34" s="91">
        <v>50000</v>
      </c>
      <c r="Q34" s="91">
        <f t="shared" si="3"/>
        <v>595200</v>
      </c>
    </row>
    <row r="35" spans="1:17" x14ac:dyDescent="0.2">
      <c r="A35" s="2">
        <v>29</v>
      </c>
      <c r="B35" s="16">
        <v>12</v>
      </c>
      <c r="C35" s="170">
        <v>10</v>
      </c>
      <c r="D35" s="17" t="s">
        <v>112</v>
      </c>
      <c r="E35" s="17" t="s">
        <v>113</v>
      </c>
      <c r="F35" s="17" t="s">
        <v>16</v>
      </c>
      <c r="G35" s="18">
        <v>59</v>
      </c>
      <c r="H35" s="19">
        <v>600</v>
      </c>
      <c r="I35" s="19">
        <v>600</v>
      </c>
      <c r="J35" s="15">
        <f t="shared" si="0"/>
        <v>0</v>
      </c>
      <c r="K35" s="20">
        <v>244</v>
      </c>
      <c r="L35" s="20">
        <v>82.69</v>
      </c>
      <c r="M35" s="21" t="s">
        <v>114</v>
      </c>
      <c r="N35" s="91">
        <f t="shared" si="1"/>
        <v>300000</v>
      </c>
      <c r="O35" s="91">
        <f t="shared" si="2"/>
        <v>73200</v>
      </c>
      <c r="P35" s="91">
        <v>50000</v>
      </c>
      <c r="Q35" s="91">
        <f t="shared" si="3"/>
        <v>373200</v>
      </c>
    </row>
    <row r="36" spans="1:17" x14ac:dyDescent="0.2">
      <c r="A36" s="2">
        <v>30</v>
      </c>
      <c r="B36" s="16">
        <v>13</v>
      </c>
      <c r="C36" s="170">
        <v>10</v>
      </c>
      <c r="D36" s="17" t="s">
        <v>115</v>
      </c>
      <c r="E36" s="17" t="s">
        <v>116</v>
      </c>
      <c r="F36" s="17" t="s">
        <v>16</v>
      </c>
      <c r="G36" s="18">
        <v>77</v>
      </c>
      <c r="H36" s="19">
        <v>645</v>
      </c>
      <c r="I36" s="19">
        <v>645</v>
      </c>
      <c r="J36" s="15">
        <f t="shared" si="0"/>
        <v>0</v>
      </c>
      <c r="K36" s="20">
        <v>218</v>
      </c>
      <c r="L36" s="20">
        <v>60.36</v>
      </c>
      <c r="M36" s="21" t="s">
        <v>117</v>
      </c>
      <c r="N36" s="91">
        <f t="shared" si="1"/>
        <v>322500</v>
      </c>
      <c r="O36" s="91">
        <f t="shared" si="2"/>
        <v>65400</v>
      </c>
      <c r="P36" s="91">
        <v>50000</v>
      </c>
      <c r="Q36" s="91">
        <f t="shared" si="3"/>
        <v>387900</v>
      </c>
    </row>
    <row r="37" spans="1:17" x14ac:dyDescent="0.2">
      <c r="A37" s="2">
        <v>31</v>
      </c>
      <c r="B37" s="16">
        <v>14</v>
      </c>
      <c r="C37" s="170">
        <v>10</v>
      </c>
      <c r="D37" s="17" t="s">
        <v>118</v>
      </c>
      <c r="E37" s="17" t="s">
        <v>119</v>
      </c>
      <c r="F37" s="17" t="s">
        <v>16</v>
      </c>
      <c r="G37" s="18">
        <v>57</v>
      </c>
      <c r="H37" s="19">
        <v>575</v>
      </c>
      <c r="I37" s="19">
        <v>575</v>
      </c>
      <c r="J37" s="15">
        <f t="shared" si="0"/>
        <v>0</v>
      </c>
      <c r="K37" s="20">
        <v>302</v>
      </c>
      <c r="L37" s="20">
        <v>115.79</v>
      </c>
      <c r="M37" s="21" t="s">
        <v>120</v>
      </c>
      <c r="N37" s="91">
        <f t="shared" si="1"/>
        <v>287500</v>
      </c>
      <c r="O37" s="91">
        <f t="shared" si="2"/>
        <v>90600</v>
      </c>
      <c r="P37" s="91">
        <v>50000</v>
      </c>
      <c r="Q37" s="91">
        <f t="shared" si="3"/>
        <v>378100</v>
      </c>
    </row>
    <row r="38" spans="1:17" x14ac:dyDescent="0.2">
      <c r="A38" s="2">
        <v>32</v>
      </c>
      <c r="B38" s="16">
        <v>15</v>
      </c>
      <c r="C38" s="170">
        <v>10</v>
      </c>
      <c r="D38" s="17" t="s">
        <v>121</v>
      </c>
      <c r="E38" s="17" t="s">
        <v>122</v>
      </c>
      <c r="F38" s="17" t="s">
        <v>16</v>
      </c>
      <c r="G38" s="18">
        <v>55</v>
      </c>
      <c r="H38" s="19">
        <v>628</v>
      </c>
      <c r="I38" s="19">
        <v>628</v>
      </c>
      <c r="J38" s="15">
        <f t="shared" si="0"/>
        <v>0</v>
      </c>
      <c r="K38" s="20">
        <v>442</v>
      </c>
      <c r="L38" s="20">
        <v>74.77</v>
      </c>
      <c r="M38" s="21" t="s">
        <v>123</v>
      </c>
      <c r="N38" s="91">
        <f t="shared" si="1"/>
        <v>314000</v>
      </c>
      <c r="O38" s="91">
        <f t="shared" si="2"/>
        <v>132600</v>
      </c>
      <c r="P38" s="91">
        <v>50000</v>
      </c>
      <c r="Q38" s="91">
        <f t="shared" si="3"/>
        <v>446600</v>
      </c>
    </row>
    <row r="39" spans="1:17" x14ac:dyDescent="0.2">
      <c r="A39" s="2">
        <v>33</v>
      </c>
      <c r="B39" s="16">
        <v>16</v>
      </c>
      <c r="C39" s="170">
        <v>10</v>
      </c>
      <c r="D39" s="17" t="s">
        <v>124</v>
      </c>
      <c r="E39" s="17" t="s">
        <v>125</v>
      </c>
      <c r="F39" s="17" t="s">
        <v>16</v>
      </c>
      <c r="G39" s="18">
        <v>79</v>
      </c>
      <c r="H39" s="19">
        <v>600</v>
      </c>
      <c r="I39" s="20">
        <v>534</v>
      </c>
      <c r="J39" s="15">
        <f t="shared" si="0"/>
        <v>-66</v>
      </c>
      <c r="K39" s="20">
        <v>254</v>
      </c>
      <c r="L39" s="20">
        <v>100.3</v>
      </c>
      <c r="M39" s="21" t="s">
        <v>126</v>
      </c>
      <c r="N39" s="91">
        <f t="shared" si="1"/>
        <v>267000</v>
      </c>
      <c r="O39" s="91">
        <f t="shared" si="2"/>
        <v>76200</v>
      </c>
      <c r="P39" s="91">
        <v>50000</v>
      </c>
      <c r="Q39" s="91">
        <f t="shared" si="3"/>
        <v>343200</v>
      </c>
    </row>
    <row r="40" spans="1:17" x14ac:dyDescent="0.2">
      <c r="A40" s="2">
        <v>34</v>
      </c>
      <c r="B40" s="16">
        <v>17</v>
      </c>
      <c r="C40" s="170">
        <v>10</v>
      </c>
      <c r="D40" s="17" t="s">
        <v>127</v>
      </c>
      <c r="E40" s="17" t="s">
        <v>128</v>
      </c>
      <c r="F40" s="17" t="s">
        <v>129</v>
      </c>
      <c r="G40" s="18">
        <v>51</v>
      </c>
      <c r="H40" s="19">
        <v>600</v>
      </c>
      <c r="I40" s="20">
        <v>611</v>
      </c>
      <c r="J40" s="15">
        <f t="shared" si="0"/>
        <v>11</v>
      </c>
      <c r="K40" s="20">
        <v>452</v>
      </c>
      <c r="L40" s="20">
        <v>190.55</v>
      </c>
      <c r="M40" s="21" t="s">
        <v>130</v>
      </c>
      <c r="N40" s="91">
        <f t="shared" si="1"/>
        <v>305500</v>
      </c>
      <c r="O40" s="91">
        <f t="shared" si="2"/>
        <v>135600</v>
      </c>
      <c r="P40" s="91">
        <v>50000</v>
      </c>
      <c r="Q40" s="91">
        <f t="shared" si="3"/>
        <v>441100</v>
      </c>
    </row>
    <row r="41" spans="1:17" x14ac:dyDescent="0.2">
      <c r="A41" s="2">
        <v>35</v>
      </c>
      <c r="B41" s="16">
        <v>18</v>
      </c>
      <c r="C41" s="170">
        <v>10</v>
      </c>
      <c r="D41" s="17" t="s">
        <v>131</v>
      </c>
      <c r="E41" s="17" t="s">
        <v>132</v>
      </c>
      <c r="F41" s="17" t="s">
        <v>16</v>
      </c>
      <c r="G41" s="18">
        <v>53</v>
      </c>
      <c r="H41" s="19">
        <v>600</v>
      </c>
      <c r="I41" s="19">
        <v>600</v>
      </c>
      <c r="J41" s="15">
        <f t="shared" si="0"/>
        <v>0</v>
      </c>
      <c r="K41" s="20">
        <v>395</v>
      </c>
      <c r="L41" s="20">
        <v>167.02</v>
      </c>
      <c r="M41" s="21" t="s">
        <v>133</v>
      </c>
      <c r="N41" s="91">
        <f t="shared" si="1"/>
        <v>300000</v>
      </c>
      <c r="O41" s="91">
        <f t="shared" si="2"/>
        <v>118500</v>
      </c>
      <c r="P41" s="91">
        <v>50000</v>
      </c>
      <c r="Q41" s="91">
        <f t="shared" si="3"/>
        <v>418500</v>
      </c>
    </row>
    <row r="42" spans="1:17" x14ac:dyDescent="0.2">
      <c r="A42" s="2">
        <v>36</v>
      </c>
      <c r="B42" s="16">
        <v>19</v>
      </c>
      <c r="C42" s="170"/>
      <c r="D42" s="17" t="s">
        <v>134</v>
      </c>
      <c r="E42" s="17" t="s">
        <v>135</v>
      </c>
      <c r="F42" s="17" t="s">
        <v>16</v>
      </c>
      <c r="G42" s="18">
        <v>51</v>
      </c>
      <c r="H42" s="19">
        <v>600</v>
      </c>
      <c r="I42" s="19">
        <v>600</v>
      </c>
      <c r="J42" s="15">
        <f t="shared" si="0"/>
        <v>0</v>
      </c>
      <c r="K42" s="20">
        <v>232</v>
      </c>
      <c r="L42" s="20">
        <v>91.51</v>
      </c>
      <c r="M42" s="21" t="s">
        <v>136</v>
      </c>
      <c r="N42" s="91">
        <f t="shared" si="1"/>
        <v>300000</v>
      </c>
      <c r="O42" s="91">
        <f t="shared" si="2"/>
        <v>69600</v>
      </c>
      <c r="P42" s="91">
        <v>50000</v>
      </c>
      <c r="Q42" s="91">
        <f t="shared" si="3"/>
        <v>369600</v>
      </c>
    </row>
    <row r="43" spans="1:17" x14ac:dyDescent="0.2">
      <c r="A43" s="2">
        <v>37</v>
      </c>
      <c r="B43" s="16">
        <v>20</v>
      </c>
      <c r="C43" s="170">
        <v>10</v>
      </c>
      <c r="D43" s="17" t="s">
        <v>137</v>
      </c>
      <c r="E43" s="17" t="s">
        <v>138</v>
      </c>
      <c r="F43" s="17" t="s">
        <v>129</v>
      </c>
      <c r="G43" s="18">
        <v>83</v>
      </c>
      <c r="H43" s="19">
        <v>600</v>
      </c>
      <c r="I43" s="19">
        <v>600</v>
      </c>
      <c r="J43" s="15">
        <f t="shared" si="0"/>
        <v>0</v>
      </c>
      <c r="K43" s="20">
        <v>360</v>
      </c>
      <c r="L43" s="20">
        <v>138.27000000000001</v>
      </c>
      <c r="M43" s="21" t="s">
        <v>139</v>
      </c>
      <c r="N43" s="91">
        <f t="shared" si="1"/>
        <v>300000</v>
      </c>
      <c r="O43" s="91">
        <f t="shared" si="2"/>
        <v>108000</v>
      </c>
      <c r="P43" s="91">
        <v>50000</v>
      </c>
      <c r="Q43" s="91">
        <f t="shared" si="3"/>
        <v>408000</v>
      </c>
    </row>
    <row r="44" spans="1:17" x14ac:dyDescent="0.2">
      <c r="A44" s="2">
        <v>38</v>
      </c>
      <c r="B44" s="16">
        <v>21</v>
      </c>
      <c r="C44" s="170">
        <v>10</v>
      </c>
      <c r="D44" s="22" t="s">
        <v>140</v>
      </c>
      <c r="E44" s="22" t="s">
        <v>141</v>
      </c>
      <c r="F44" s="17" t="s">
        <v>16</v>
      </c>
      <c r="G44" s="18">
        <v>49</v>
      </c>
      <c r="H44" s="19">
        <v>621</v>
      </c>
      <c r="I44" s="19">
        <v>621</v>
      </c>
      <c r="J44" s="15">
        <f t="shared" si="0"/>
        <v>0</v>
      </c>
      <c r="K44" s="20">
        <v>424</v>
      </c>
      <c r="L44" s="20">
        <v>165.41</v>
      </c>
      <c r="M44" s="21" t="s">
        <v>142</v>
      </c>
      <c r="N44" s="91">
        <f t="shared" si="1"/>
        <v>310500</v>
      </c>
      <c r="O44" s="91">
        <f t="shared" si="2"/>
        <v>127200</v>
      </c>
      <c r="P44" s="91">
        <v>50000</v>
      </c>
      <c r="Q44" s="91">
        <f t="shared" si="3"/>
        <v>437700</v>
      </c>
    </row>
    <row r="45" spans="1:17" x14ac:dyDescent="0.2">
      <c r="A45" s="2">
        <v>39</v>
      </c>
      <c r="B45" s="16">
        <v>22</v>
      </c>
      <c r="C45" s="170">
        <v>10</v>
      </c>
      <c r="D45" s="22" t="s">
        <v>143</v>
      </c>
      <c r="E45" s="22" t="s">
        <v>144</v>
      </c>
      <c r="F45" s="17" t="s">
        <v>16</v>
      </c>
      <c r="G45" s="18">
        <v>43</v>
      </c>
      <c r="H45" s="19">
        <v>552</v>
      </c>
      <c r="I45" s="19">
        <v>552</v>
      </c>
      <c r="J45" s="15">
        <f t="shared" si="0"/>
        <v>0</v>
      </c>
      <c r="K45" s="20">
        <v>237</v>
      </c>
      <c r="L45" s="20">
        <v>148.84</v>
      </c>
      <c r="M45" s="21" t="s">
        <v>145</v>
      </c>
      <c r="N45" s="91">
        <f t="shared" si="1"/>
        <v>276000</v>
      </c>
      <c r="O45" s="91">
        <f t="shared" si="2"/>
        <v>71100</v>
      </c>
      <c r="P45" s="91">
        <v>50000</v>
      </c>
      <c r="Q45" s="91">
        <f t="shared" si="3"/>
        <v>347100</v>
      </c>
    </row>
    <row r="46" spans="1:17" x14ac:dyDescent="0.2">
      <c r="A46" s="2">
        <v>40</v>
      </c>
      <c r="B46" s="16">
        <v>23</v>
      </c>
      <c r="C46" s="170">
        <v>10</v>
      </c>
      <c r="D46" s="17" t="s">
        <v>146</v>
      </c>
      <c r="E46" s="17" t="s">
        <v>147</v>
      </c>
      <c r="F46" s="17" t="s">
        <v>16</v>
      </c>
      <c r="G46" s="18" t="s">
        <v>148</v>
      </c>
      <c r="H46" s="19">
        <v>344</v>
      </c>
      <c r="I46" s="19">
        <v>344</v>
      </c>
      <c r="J46" s="15">
        <f t="shared" si="0"/>
        <v>0</v>
      </c>
      <c r="K46" s="20">
        <v>216</v>
      </c>
      <c r="L46" s="20">
        <v>29.47</v>
      </c>
      <c r="M46" s="21" t="s">
        <v>149</v>
      </c>
      <c r="N46" s="91">
        <f t="shared" si="1"/>
        <v>172000</v>
      </c>
      <c r="O46" s="91">
        <f t="shared" si="2"/>
        <v>64800</v>
      </c>
      <c r="P46" s="91">
        <v>50000</v>
      </c>
      <c r="Q46" s="91">
        <f t="shared" si="3"/>
        <v>236800</v>
      </c>
    </row>
    <row r="47" spans="1:17" x14ac:dyDescent="0.2">
      <c r="A47" s="2">
        <v>41</v>
      </c>
      <c r="B47" s="16">
        <v>24</v>
      </c>
      <c r="C47" s="170">
        <v>10</v>
      </c>
      <c r="D47" s="17" t="s">
        <v>150</v>
      </c>
      <c r="E47" s="17" t="s">
        <v>151</v>
      </c>
      <c r="F47" s="17" t="s">
        <v>16</v>
      </c>
      <c r="G47" s="18">
        <v>45</v>
      </c>
      <c r="H47" s="19">
        <v>1159</v>
      </c>
      <c r="I47" s="19">
        <v>1159</v>
      </c>
      <c r="J47" s="15">
        <f t="shared" si="0"/>
        <v>0</v>
      </c>
      <c r="K47" s="20">
        <v>147</v>
      </c>
      <c r="L47" s="20">
        <v>88</v>
      </c>
      <c r="M47" s="21" t="s">
        <v>152</v>
      </c>
      <c r="N47" s="91">
        <f t="shared" si="1"/>
        <v>579500</v>
      </c>
      <c r="O47" s="91">
        <f t="shared" si="2"/>
        <v>44100</v>
      </c>
      <c r="P47" s="91">
        <v>50000</v>
      </c>
      <c r="Q47" s="91">
        <f t="shared" si="3"/>
        <v>623600</v>
      </c>
    </row>
    <row r="48" spans="1:17" x14ac:dyDescent="0.2">
      <c r="A48" s="2">
        <v>42</v>
      </c>
      <c r="B48" s="16">
        <v>25</v>
      </c>
      <c r="C48" s="170">
        <v>10</v>
      </c>
      <c r="D48" s="17" t="s">
        <v>153</v>
      </c>
      <c r="E48" s="17" t="s">
        <v>154</v>
      </c>
      <c r="F48" s="17" t="s">
        <v>16</v>
      </c>
      <c r="G48" s="18">
        <v>41</v>
      </c>
      <c r="H48" s="19">
        <v>600</v>
      </c>
      <c r="I48" s="19">
        <v>600</v>
      </c>
      <c r="J48" s="15">
        <f t="shared" si="0"/>
        <v>0</v>
      </c>
      <c r="K48" s="20">
        <v>298</v>
      </c>
      <c r="L48" s="20">
        <v>83.78</v>
      </c>
      <c r="M48" s="21" t="s">
        <v>155</v>
      </c>
      <c r="N48" s="91">
        <f t="shared" si="1"/>
        <v>300000</v>
      </c>
      <c r="O48" s="91">
        <f t="shared" si="2"/>
        <v>89400</v>
      </c>
      <c r="P48" s="91">
        <v>50000</v>
      </c>
      <c r="Q48" s="91">
        <f t="shared" si="3"/>
        <v>389400</v>
      </c>
    </row>
    <row r="49" spans="1:17" x14ac:dyDescent="0.2">
      <c r="A49" s="2">
        <v>43</v>
      </c>
      <c r="B49" s="23">
        <v>26</v>
      </c>
      <c r="C49" s="170">
        <v>10</v>
      </c>
      <c r="D49" s="17" t="s">
        <v>156</v>
      </c>
      <c r="E49" s="17" t="s">
        <v>157</v>
      </c>
      <c r="F49" s="17" t="s">
        <v>16</v>
      </c>
      <c r="G49" s="18">
        <v>66</v>
      </c>
      <c r="H49" s="19">
        <v>970</v>
      </c>
      <c r="I49" s="20">
        <v>1203</v>
      </c>
      <c r="J49" s="15">
        <f t="shared" si="0"/>
        <v>233</v>
      </c>
      <c r="K49" s="20">
        <v>330</v>
      </c>
      <c r="L49" s="20">
        <v>195.23</v>
      </c>
      <c r="M49" s="21" t="s">
        <v>158</v>
      </c>
      <c r="N49" s="91">
        <f t="shared" si="1"/>
        <v>601500</v>
      </c>
      <c r="O49" s="91">
        <f t="shared" si="2"/>
        <v>99000</v>
      </c>
      <c r="P49" s="91">
        <v>50000</v>
      </c>
      <c r="Q49" s="91">
        <f t="shared" si="3"/>
        <v>700500</v>
      </c>
    </row>
    <row r="50" spans="1:17" x14ac:dyDescent="0.2">
      <c r="A50" s="2">
        <v>44</v>
      </c>
      <c r="B50" s="23">
        <v>27</v>
      </c>
      <c r="C50" s="170">
        <v>10</v>
      </c>
      <c r="D50" s="17" t="s">
        <v>159</v>
      </c>
      <c r="E50" s="17" t="s">
        <v>160</v>
      </c>
      <c r="F50" s="17" t="s">
        <v>16</v>
      </c>
      <c r="G50" s="18">
        <v>64</v>
      </c>
      <c r="H50" s="19">
        <v>1290</v>
      </c>
      <c r="I50" s="19">
        <v>1290</v>
      </c>
      <c r="J50" s="15">
        <f t="shared" si="0"/>
        <v>0</v>
      </c>
      <c r="K50" s="20">
        <v>628</v>
      </c>
      <c r="L50" s="20">
        <v>223.55</v>
      </c>
      <c r="M50" s="21" t="s">
        <v>161</v>
      </c>
      <c r="N50" s="91">
        <f t="shared" si="1"/>
        <v>645000</v>
      </c>
      <c r="O50" s="91">
        <f t="shared" si="2"/>
        <v>188400</v>
      </c>
      <c r="P50" s="91">
        <v>50000</v>
      </c>
      <c r="Q50" s="91">
        <f t="shared" si="3"/>
        <v>833400</v>
      </c>
    </row>
    <row r="51" spans="1:17" x14ac:dyDescent="0.2">
      <c r="A51" s="2">
        <v>45</v>
      </c>
      <c r="B51" s="23">
        <v>28</v>
      </c>
      <c r="C51" s="170">
        <v>10</v>
      </c>
      <c r="D51" s="17" t="s">
        <v>162</v>
      </c>
      <c r="E51" s="17" t="s">
        <v>163</v>
      </c>
      <c r="F51" s="17" t="s">
        <v>16</v>
      </c>
      <c r="G51" s="18" t="s">
        <v>164</v>
      </c>
      <c r="H51" s="19">
        <v>644</v>
      </c>
      <c r="I51" s="20">
        <v>644</v>
      </c>
      <c r="J51" s="15">
        <f t="shared" si="0"/>
        <v>0</v>
      </c>
      <c r="K51" s="20">
        <v>213</v>
      </c>
      <c r="L51" s="20">
        <v>70.739999999999995</v>
      </c>
      <c r="M51" s="21" t="s">
        <v>165</v>
      </c>
      <c r="N51" s="91">
        <f t="shared" si="1"/>
        <v>322000</v>
      </c>
      <c r="O51" s="91">
        <f t="shared" si="2"/>
        <v>63900</v>
      </c>
      <c r="P51" s="91">
        <v>50000</v>
      </c>
      <c r="Q51" s="91">
        <f t="shared" si="3"/>
        <v>385900</v>
      </c>
    </row>
    <row r="52" spans="1:17" x14ac:dyDescent="0.2">
      <c r="A52" s="2">
        <v>46</v>
      </c>
      <c r="B52" s="23">
        <v>29</v>
      </c>
      <c r="C52" s="170">
        <v>10</v>
      </c>
      <c r="D52" s="17" t="s">
        <v>166</v>
      </c>
      <c r="E52" s="17" t="s">
        <v>167</v>
      </c>
      <c r="F52" s="17" t="s">
        <v>16</v>
      </c>
      <c r="G52" s="18" t="s">
        <v>168</v>
      </c>
      <c r="H52" s="19">
        <v>538</v>
      </c>
      <c r="I52" s="19">
        <v>538</v>
      </c>
      <c r="J52" s="15">
        <f t="shared" si="0"/>
        <v>0</v>
      </c>
      <c r="K52" s="20">
        <v>327</v>
      </c>
      <c r="L52" s="20">
        <v>123.76</v>
      </c>
      <c r="M52" s="21" t="s">
        <v>169</v>
      </c>
      <c r="N52" s="91">
        <f t="shared" si="1"/>
        <v>269000</v>
      </c>
      <c r="O52" s="91">
        <f t="shared" si="2"/>
        <v>98100</v>
      </c>
      <c r="P52" s="91">
        <v>50000</v>
      </c>
      <c r="Q52" s="91">
        <f t="shared" si="3"/>
        <v>367100</v>
      </c>
    </row>
    <row r="53" spans="1:17" x14ac:dyDescent="0.2">
      <c r="A53" s="2">
        <v>47</v>
      </c>
      <c r="B53" s="23">
        <v>30</v>
      </c>
      <c r="C53" s="170">
        <v>10</v>
      </c>
      <c r="D53" s="17" t="s">
        <v>170</v>
      </c>
      <c r="E53" s="17" t="s">
        <v>171</v>
      </c>
      <c r="F53" s="17" t="s">
        <v>16</v>
      </c>
      <c r="G53" s="18" t="s">
        <v>172</v>
      </c>
      <c r="H53" s="19">
        <v>1100</v>
      </c>
      <c r="I53" s="20">
        <v>700</v>
      </c>
      <c r="J53" s="15">
        <f t="shared" si="0"/>
        <v>-400</v>
      </c>
      <c r="K53" s="20">
        <v>83.01</v>
      </c>
      <c r="L53" s="20">
        <v>83.01</v>
      </c>
      <c r="M53" s="21" t="s">
        <v>173</v>
      </c>
      <c r="N53" s="91">
        <f t="shared" si="1"/>
        <v>350000</v>
      </c>
      <c r="O53" s="91">
        <f t="shared" si="2"/>
        <v>24903</v>
      </c>
      <c r="P53" s="91">
        <v>50000</v>
      </c>
      <c r="Q53" s="91">
        <f t="shared" si="3"/>
        <v>374903</v>
      </c>
    </row>
    <row r="54" spans="1:17" x14ac:dyDescent="0.2">
      <c r="A54" s="2">
        <v>48</v>
      </c>
      <c r="B54" s="23">
        <v>31</v>
      </c>
      <c r="C54" s="170"/>
      <c r="D54" s="17" t="s">
        <v>174</v>
      </c>
      <c r="E54" s="17" t="s">
        <v>175</v>
      </c>
      <c r="F54" s="17" t="s">
        <v>16</v>
      </c>
      <c r="G54" s="18">
        <v>14</v>
      </c>
      <c r="H54" s="19">
        <v>1100</v>
      </c>
      <c r="I54" s="20">
        <v>700</v>
      </c>
      <c r="J54" s="15">
        <f t="shared" si="0"/>
        <v>-400</v>
      </c>
      <c r="K54" s="20">
        <v>254</v>
      </c>
      <c r="L54" s="20">
        <v>31.98</v>
      </c>
      <c r="M54" s="21" t="s">
        <v>176</v>
      </c>
      <c r="N54" s="91">
        <f t="shared" si="1"/>
        <v>350000</v>
      </c>
      <c r="O54" s="91">
        <f t="shared" si="2"/>
        <v>76200</v>
      </c>
      <c r="P54" s="91">
        <v>50000</v>
      </c>
      <c r="Q54" s="91">
        <f t="shared" si="3"/>
        <v>426200</v>
      </c>
    </row>
    <row r="55" spans="1:17" x14ac:dyDescent="0.2">
      <c r="A55" s="2">
        <v>49</v>
      </c>
      <c r="B55" s="23">
        <v>32</v>
      </c>
      <c r="C55" s="170">
        <v>10</v>
      </c>
      <c r="D55" s="17" t="s">
        <v>177</v>
      </c>
      <c r="E55" s="17" t="s">
        <v>178</v>
      </c>
      <c r="F55" s="17" t="s">
        <v>16</v>
      </c>
      <c r="G55" s="18">
        <v>60</v>
      </c>
      <c r="H55" s="19">
        <v>1299</v>
      </c>
      <c r="I55" s="15">
        <f>H55</f>
        <v>1299</v>
      </c>
      <c r="J55" s="15">
        <f t="shared" si="0"/>
        <v>0</v>
      </c>
      <c r="K55" s="20">
        <v>475</v>
      </c>
      <c r="L55" s="20">
        <v>169.5</v>
      </c>
      <c r="M55" s="21" t="s">
        <v>169</v>
      </c>
      <c r="N55" s="91">
        <f t="shared" si="1"/>
        <v>649500</v>
      </c>
      <c r="O55" s="91">
        <f t="shared" si="2"/>
        <v>142500</v>
      </c>
      <c r="P55" s="91">
        <v>50000</v>
      </c>
      <c r="Q55" s="91">
        <f t="shared" si="3"/>
        <v>792000</v>
      </c>
    </row>
    <row r="56" spans="1:17" x14ac:dyDescent="0.2">
      <c r="A56" s="2">
        <v>50</v>
      </c>
      <c r="B56" s="23">
        <v>33</v>
      </c>
      <c r="C56" s="170"/>
      <c r="D56" s="17" t="s">
        <v>179</v>
      </c>
      <c r="E56" s="17" t="s">
        <v>180</v>
      </c>
      <c r="F56" s="17" t="s">
        <v>16</v>
      </c>
      <c r="G56" s="18">
        <v>18</v>
      </c>
      <c r="H56" s="19">
        <v>945</v>
      </c>
      <c r="I56" s="19">
        <v>945</v>
      </c>
      <c r="J56" s="15">
        <f t="shared" si="0"/>
        <v>0</v>
      </c>
      <c r="K56" s="20">
        <v>427</v>
      </c>
      <c r="L56" s="20">
        <v>172.53</v>
      </c>
      <c r="M56" s="21" t="s">
        <v>181</v>
      </c>
      <c r="N56" s="91">
        <f t="shared" si="1"/>
        <v>472500</v>
      </c>
      <c r="O56" s="91">
        <f t="shared" si="2"/>
        <v>128100</v>
      </c>
      <c r="P56" s="91">
        <v>50000</v>
      </c>
      <c r="Q56" s="91">
        <f t="shared" si="3"/>
        <v>600600</v>
      </c>
    </row>
    <row r="57" spans="1:17" x14ac:dyDescent="0.2">
      <c r="A57" s="2">
        <v>51</v>
      </c>
      <c r="B57" s="23">
        <v>34</v>
      </c>
      <c r="C57" s="170">
        <v>10</v>
      </c>
      <c r="D57" s="17" t="s">
        <v>182</v>
      </c>
      <c r="E57" s="17" t="s">
        <v>183</v>
      </c>
      <c r="F57" s="17" t="s">
        <v>16</v>
      </c>
      <c r="G57" s="18">
        <v>54</v>
      </c>
      <c r="H57" s="19">
        <v>759</v>
      </c>
      <c r="I57" s="19">
        <v>759</v>
      </c>
      <c r="J57" s="15">
        <f t="shared" si="0"/>
        <v>0</v>
      </c>
      <c r="K57" s="20">
        <v>393</v>
      </c>
      <c r="L57" s="20">
        <v>231.38</v>
      </c>
      <c r="M57" s="21" t="s">
        <v>184</v>
      </c>
      <c r="N57" s="91">
        <f t="shared" si="1"/>
        <v>379500</v>
      </c>
      <c r="O57" s="91">
        <f t="shared" si="2"/>
        <v>117900</v>
      </c>
      <c r="P57" s="91">
        <v>50000</v>
      </c>
      <c r="Q57" s="91">
        <f t="shared" si="3"/>
        <v>497400</v>
      </c>
    </row>
    <row r="58" spans="1:17" x14ac:dyDescent="0.2">
      <c r="A58" s="2">
        <v>52</v>
      </c>
      <c r="B58" s="23">
        <v>35</v>
      </c>
      <c r="C58" s="170">
        <v>12</v>
      </c>
      <c r="D58" s="17" t="s">
        <v>185</v>
      </c>
      <c r="E58" s="17" t="s">
        <v>186</v>
      </c>
      <c r="F58" s="17" t="s">
        <v>16</v>
      </c>
      <c r="G58" s="18">
        <v>52</v>
      </c>
      <c r="H58" s="19">
        <v>380</v>
      </c>
      <c r="I58" s="19">
        <v>380</v>
      </c>
      <c r="J58" s="15">
        <f t="shared" si="0"/>
        <v>0</v>
      </c>
      <c r="K58" s="20">
        <v>312</v>
      </c>
      <c r="L58" s="20">
        <v>62.81</v>
      </c>
      <c r="M58" s="21" t="s">
        <v>187</v>
      </c>
      <c r="N58" s="91">
        <f t="shared" si="1"/>
        <v>190000</v>
      </c>
      <c r="O58" s="91">
        <f t="shared" si="2"/>
        <v>93600</v>
      </c>
      <c r="P58" s="91">
        <v>50000</v>
      </c>
      <c r="Q58" s="91">
        <f t="shared" si="3"/>
        <v>283600</v>
      </c>
    </row>
    <row r="59" spans="1:17" x14ac:dyDescent="0.2">
      <c r="A59" s="2">
        <v>53</v>
      </c>
      <c r="B59" s="23">
        <v>36</v>
      </c>
      <c r="C59" s="170">
        <v>12</v>
      </c>
      <c r="D59" s="17" t="s">
        <v>188</v>
      </c>
      <c r="E59" s="17" t="s">
        <v>189</v>
      </c>
      <c r="F59" s="17" t="s">
        <v>16</v>
      </c>
      <c r="G59" s="18">
        <v>70</v>
      </c>
      <c r="H59" s="19">
        <v>1140</v>
      </c>
      <c r="I59" s="20">
        <v>1700</v>
      </c>
      <c r="J59" s="15">
        <f t="shared" si="0"/>
        <v>560</v>
      </c>
      <c r="K59" s="20">
        <v>862</v>
      </c>
      <c r="L59" s="20">
        <v>382.5</v>
      </c>
      <c r="M59" s="21" t="s">
        <v>190</v>
      </c>
      <c r="N59" s="91">
        <f t="shared" si="1"/>
        <v>850000</v>
      </c>
      <c r="O59" s="91">
        <f t="shared" si="2"/>
        <v>258600</v>
      </c>
      <c r="P59" s="91">
        <v>50000</v>
      </c>
      <c r="Q59" s="91">
        <f t="shared" si="3"/>
        <v>1108600</v>
      </c>
    </row>
    <row r="60" spans="1:17" x14ac:dyDescent="0.2">
      <c r="A60" s="2">
        <v>54</v>
      </c>
      <c r="B60" s="23">
        <v>37</v>
      </c>
      <c r="C60" s="170">
        <v>12</v>
      </c>
      <c r="D60" s="17" t="s">
        <v>191</v>
      </c>
      <c r="E60" s="17" t="s">
        <v>192</v>
      </c>
      <c r="F60" s="17" t="s">
        <v>16</v>
      </c>
      <c r="G60" s="18">
        <v>12</v>
      </c>
      <c r="H60" s="19">
        <v>700</v>
      </c>
      <c r="I60" s="19">
        <v>700</v>
      </c>
      <c r="J60" s="15">
        <f t="shared" si="0"/>
        <v>0</v>
      </c>
      <c r="K60" s="20">
        <v>269</v>
      </c>
      <c r="L60" s="20">
        <v>78.989999999999995</v>
      </c>
      <c r="M60" s="21" t="s">
        <v>193</v>
      </c>
      <c r="N60" s="91">
        <f t="shared" si="1"/>
        <v>350000</v>
      </c>
      <c r="O60" s="91">
        <f t="shared" si="2"/>
        <v>80700</v>
      </c>
      <c r="P60" s="91">
        <v>50000</v>
      </c>
      <c r="Q60" s="91">
        <f t="shared" si="3"/>
        <v>430700</v>
      </c>
    </row>
    <row r="61" spans="1:17" x14ac:dyDescent="0.2">
      <c r="A61" s="2">
        <v>55</v>
      </c>
      <c r="B61" s="23">
        <v>38</v>
      </c>
      <c r="C61" s="170">
        <v>12</v>
      </c>
      <c r="D61" s="17" t="s">
        <v>194</v>
      </c>
      <c r="E61" s="17" t="s">
        <v>195</v>
      </c>
      <c r="F61" s="17" t="s">
        <v>16</v>
      </c>
      <c r="G61" s="18">
        <v>68</v>
      </c>
      <c r="H61" s="19">
        <v>593</v>
      </c>
      <c r="I61" s="19">
        <v>593</v>
      </c>
      <c r="J61" s="15">
        <f t="shared" si="0"/>
        <v>0</v>
      </c>
      <c r="K61" s="20">
        <v>354</v>
      </c>
      <c r="L61" s="20">
        <v>158.97999999999999</v>
      </c>
      <c r="M61" s="21" t="s">
        <v>196</v>
      </c>
      <c r="N61" s="91">
        <f t="shared" si="1"/>
        <v>296500</v>
      </c>
      <c r="O61" s="91">
        <f t="shared" si="2"/>
        <v>106200</v>
      </c>
      <c r="P61" s="91">
        <v>50000</v>
      </c>
      <c r="Q61" s="91">
        <f t="shared" si="3"/>
        <v>402700</v>
      </c>
    </row>
    <row r="62" spans="1:17" x14ac:dyDescent="0.2">
      <c r="A62" s="2">
        <v>56</v>
      </c>
      <c r="B62" s="23">
        <v>39</v>
      </c>
      <c r="C62" s="170">
        <v>12</v>
      </c>
      <c r="D62" s="17" t="s">
        <v>197</v>
      </c>
      <c r="E62" s="17" t="s">
        <v>198</v>
      </c>
      <c r="F62" s="17" t="s">
        <v>16</v>
      </c>
      <c r="G62" s="18" t="s">
        <v>199</v>
      </c>
      <c r="H62" s="19">
        <v>772</v>
      </c>
      <c r="I62" s="19">
        <v>772</v>
      </c>
      <c r="J62" s="15">
        <f t="shared" si="0"/>
        <v>0</v>
      </c>
      <c r="K62" s="20">
        <v>285</v>
      </c>
      <c r="L62" s="20">
        <v>96.15</v>
      </c>
      <c r="M62" s="21" t="s">
        <v>200</v>
      </c>
      <c r="N62" s="91">
        <f t="shared" si="1"/>
        <v>386000</v>
      </c>
      <c r="O62" s="91">
        <f t="shared" si="2"/>
        <v>85500</v>
      </c>
      <c r="P62" s="91">
        <v>50000</v>
      </c>
      <c r="Q62" s="91">
        <f t="shared" si="3"/>
        <v>471500</v>
      </c>
    </row>
    <row r="63" spans="1:17" x14ac:dyDescent="0.2">
      <c r="A63" s="2">
        <v>57</v>
      </c>
      <c r="B63" s="23">
        <v>40</v>
      </c>
      <c r="C63" s="170">
        <v>12</v>
      </c>
      <c r="D63" s="17" t="s">
        <v>201</v>
      </c>
      <c r="E63" s="17" t="s">
        <v>202</v>
      </c>
      <c r="F63" s="17" t="s">
        <v>16</v>
      </c>
      <c r="G63" s="18">
        <v>48</v>
      </c>
      <c r="H63" s="19">
        <v>500</v>
      </c>
      <c r="I63" s="20">
        <v>573</v>
      </c>
      <c r="J63" s="15">
        <f t="shared" si="0"/>
        <v>73</v>
      </c>
      <c r="K63" s="20">
        <v>261</v>
      </c>
      <c r="L63" s="20">
        <v>121.69</v>
      </c>
      <c r="M63" s="21" t="s">
        <v>158</v>
      </c>
      <c r="N63" s="91">
        <f t="shared" si="1"/>
        <v>286500</v>
      </c>
      <c r="O63" s="91">
        <f t="shared" si="2"/>
        <v>78300</v>
      </c>
      <c r="P63" s="91">
        <v>50000</v>
      </c>
      <c r="Q63" s="91">
        <f t="shared" si="3"/>
        <v>364800</v>
      </c>
    </row>
    <row r="64" spans="1:17" x14ac:dyDescent="0.2">
      <c r="A64" s="2">
        <v>58</v>
      </c>
      <c r="B64" s="23">
        <v>41</v>
      </c>
      <c r="C64" s="170">
        <v>12</v>
      </c>
      <c r="D64" s="17" t="s">
        <v>203</v>
      </c>
      <c r="E64" s="17" t="s">
        <v>204</v>
      </c>
      <c r="F64" s="17" t="s">
        <v>16</v>
      </c>
      <c r="G64" s="18">
        <v>46</v>
      </c>
      <c r="H64" s="19">
        <v>723</v>
      </c>
      <c r="I64" s="19">
        <v>723</v>
      </c>
      <c r="J64" s="15">
        <f t="shared" si="0"/>
        <v>0</v>
      </c>
      <c r="K64" s="20">
        <v>340</v>
      </c>
      <c r="L64" s="20">
        <v>63.2</v>
      </c>
      <c r="M64" s="21" t="s">
        <v>200</v>
      </c>
      <c r="N64" s="91">
        <f t="shared" si="1"/>
        <v>433800</v>
      </c>
      <c r="O64" s="91">
        <f t="shared" si="2"/>
        <v>102000</v>
      </c>
      <c r="P64" s="91">
        <v>60000</v>
      </c>
      <c r="Q64" s="91">
        <f t="shared" si="3"/>
        <v>535800</v>
      </c>
    </row>
    <row r="65" spans="1:17" x14ac:dyDescent="0.2">
      <c r="A65" s="2">
        <v>59</v>
      </c>
      <c r="B65" s="23">
        <v>42</v>
      </c>
      <c r="C65" s="170">
        <v>12</v>
      </c>
      <c r="D65" s="17" t="s">
        <v>205</v>
      </c>
      <c r="E65" s="17" t="s">
        <v>206</v>
      </c>
      <c r="F65" s="17" t="s">
        <v>16</v>
      </c>
      <c r="G65" s="18">
        <v>72</v>
      </c>
      <c r="H65" s="19">
        <v>725</v>
      </c>
      <c r="I65" s="19">
        <v>725</v>
      </c>
      <c r="J65" s="15">
        <f t="shared" si="0"/>
        <v>0</v>
      </c>
      <c r="K65" s="20">
        <v>315</v>
      </c>
      <c r="L65" s="20">
        <v>65.34</v>
      </c>
      <c r="M65" s="21" t="s">
        <v>207</v>
      </c>
      <c r="N65" s="91">
        <f t="shared" si="1"/>
        <v>362500</v>
      </c>
      <c r="O65" s="91">
        <f t="shared" si="2"/>
        <v>94500</v>
      </c>
      <c r="P65" s="91">
        <v>50000</v>
      </c>
      <c r="Q65" s="91">
        <f t="shared" si="3"/>
        <v>457000</v>
      </c>
    </row>
    <row r="66" spans="1:17" x14ac:dyDescent="0.2">
      <c r="A66" s="2">
        <v>60</v>
      </c>
      <c r="B66" s="23">
        <v>43</v>
      </c>
      <c r="C66" s="170">
        <v>12</v>
      </c>
      <c r="D66" s="17" t="s">
        <v>208</v>
      </c>
      <c r="E66" s="17" t="s">
        <v>209</v>
      </c>
      <c r="F66" s="17" t="s">
        <v>16</v>
      </c>
      <c r="G66" s="18" t="s">
        <v>210</v>
      </c>
      <c r="H66" s="19">
        <v>217</v>
      </c>
      <c r="I66" s="19">
        <v>217</v>
      </c>
      <c r="J66" s="15">
        <f t="shared" si="0"/>
        <v>0</v>
      </c>
      <c r="K66" s="20">
        <v>150</v>
      </c>
      <c r="L66" s="20">
        <v>47.14</v>
      </c>
      <c r="M66" s="21" t="s">
        <v>211</v>
      </c>
      <c r="N66" s="91">
        <f t="shared" si="1"/>
        <v>108500</v>
      </c>
      <c r="O66" s="91">
        <f t="shared" si="2"/>
        <v>45000</v>
      </c>
      <c r="P66" s="91">
        <v>50000</v>
      </c>
      <c r="Q66" s="91">
        <f t="shared" si="3"/>
        <v>153500</v>
      </c>
    </row>
    <row r="67" spans="1:17" x14ac:dyDescent="0.2">
      <c r="A67" s="2">
        <v>61</v>
      </c>
      <c r="B67" s="16">
        <v>44</v>
      </c>
      <c r="C67" s="170">
        <v>12</v>
      </c>
      <c r="D67" s="17" t="s">
        <v>212</v>
      </c>
      <c r="E67" s="17" t="s">
        <v>213</v>
      </c>
      <c r="F67" s="17" t="s">
        <v>16</v>
      </c>
      <c r="G67" s="18">
        <v>39</v>
      </c>
      <c r="H67" s="19">
        <v>600</v>
      </c>
      <c r="I67" s="20">
        <v>658</v>
      </c>
      <c r="J67" s="15">
        <f t="shared" si="0"/>
        <v>58</v>
      </c>
      <c r="K67" s="20">
        <v>271</v>
      </c>
      <c r="L67" s="20">
        <v>92.01</v>
      </c>
      <c r="M67" s="21" t="s">
        <v>214</v>
      </c>
      <c r="N67" s="91">
        <f t="shared" si="1"/>
        <v>329000</v>
      </c>
      <c r="O67" s="91">
        <f t="shared" si="2"/>
        <v>81300</v>
      </c>
      <c r="P67" s="91">
        <v>50000</v>
      </c>
      <c r="Q67" s="91">
        <f t="shared" si="3"/>
        <v>410300</v>
      </c>
    </row>
    <row r="68" spans="1:17" x14ac:dyDescent="0.2">
      <c r="A68" s="2">
        <v>62</v>
      </c>
      <c r="B68" s="16">
        <v>45</v>
      </c>
      <c r="C68" s="170">
        <v>12</v>
      </c>
      <c r="D68" s="17" t="s">
        <v>215</v>
      </c>
      <c r="E68" s="17" t="s">
        <v>216</v>
      </c>
      <c r="F68" s="17" t="s">
        <v>16</v>
      </c>
      <c r="G68" s="18" t="s">
        <v>217</v>
      </c>
      <c r="H68" s="19">
        <v>1290</v>
      </c>
      <c r="I68" s="20">
        <v>414</v>
      </c>
      <c r="J68" s="15"/>
      <c r="K68" s="20">
        <v>230</v>
      </c>
      <c r="L68" s="20">
        <v>25.47</v>
      </c>
      <c r="M68" s="21" t="s">
        <v>218</v>
      </c>
      <c r="N68" s="91">
        <f t="shared" si="1"/>
        <v>207000</v>
      </c>
      <c r="O68" s="91">
        <f t="shared" si="2"/>
        <v>69000</v>
      </c>
      <c r="P68" s="91">
        <v>50000</v>
      </c>
      <c r="Q68" s="91">
        <f t="shared" si="3"/>
        <v>276000</v>
      </c>
    </row>
    <row r="69" spans="1:17" x14ac:dyDescent="0.2">
      <c r="A69" s="2">
        <v>63</v>
      </c>
      <c r="B69" s="16">
        <v>46</v>
      </c>
      <c r="C69" s="170">
        <v>12</v>
      </c>
      <c r="D69" s="17" t="s">
        <v>219</v>
      </c>
      <c r="E69" s="17" t="s">
        <v>220</v>
      </c>
      <c r="F69" s="17" t="s">
        <v>16</v>
      </c>
      <c r="G69" s="18">
        <v>35</v>
      </c>
      <c r="H69" s="19">
        <v>1290</v>
      </c>
      <c r="I69" s="20">
        <v>876</v>
      </c>
      <c r="J69" s="15"/>
      <c r="K69" s="20">
        <v>228</v>
      </c>
      <c r="L69" s="20">
        <v>84.42</v>
      </c>
      <c r="M69" s="21" t="s">
        <v>218</v>
      </c>
      <c r="N69" s="91">
        <f t="shared" si="1"/>
        <v>438000</v>
      </c>
      <c r="O69" s="91">
        <f t="shared" si="2"/>
        <v>68400</v>
      </c>
      <c r="P69" s="91">
        <v>50000</v>
      </c>
      <c r="Q69" s="91">
        <f t="shared" si="3"/>
        <v>506400</v>
      </c>
    </row>
    <row r="70" spans="1:17" x14ac:dyDescent="0.2">
      <c r="A70" s="2">
        <v>64</v>
      </c>
      <c r="B70" s="16">
        <v>47</v>
      </c>
      <c r="C70" s="170">
        <v>12</v>
      </c>
      <c r="D70" s="17" t="s">
        <v>221</v>
      </c>
      <c r="E70" s="17" t="s">
        <v>222</v>
      </c>
      <c r="F70" s="17" t="s">
        <v>16</v>
      </c>
      <c r="G70" s="18">
        <v>37</v>
      </c>
      <c r="H70" s="19">
        <v>634</v>
      </c>
      <c r="I70" s="19">
        <v>634</v>
      </c>
      <c r="J70" s="15">
        <f t="shared" ref="J70:J133" si="4">I70-H70</f>
        <v>0</v>
      </c>
      <c r="K70" s="20">
        <v>353</v>
      </c>
      <c r="L70" s="20">
        <v>151.59</v>
      </c>
      <c r="M70" s="21" t="s">
        <v>223</v>
      </c>
      <c r="N70" s="91">
        <f t="shared" ref="N70:N133" si="5">I70*P70/100</f>
        <v>317000</v>
      </c>
      <c r="O70" s="91">
        <f t="shared" ref="O70:O133" si="6">K70*300</f>
        <v>105900</v>
      </c>
      <c r="P70" s="91">
        <v>50000</v>
      </c>
      <c r="Q70" s="91">
        <f t="shared" ref="Q70:Q133" si="7">N70+O70</f>
        <v>422900</v>
      </c>
    </row>
    <row r="71" spans="1:17" x14ac:dyDescent="0.2">
      <c r="A71" s="2">
        <v>65</v>
      </c>
      <c r="B71" s="18">
        <v>48</v>
      </c>
      <c r="C71" s="170">
        <v>12</v>
      </c>
      <c r="D71" s="17" t="s">
        <v>224</v>
      </c>
      <c r="E71" s="17" t="s">
        <v>225</v>
      </c>
      <c r="F71" s="17" t="s">
        <v>16</v>
      </c>
      <c r="G71" s="18" t="s">
        <v>226</v>
      </c>
      <c r="H71" s="19">
        <v>1116</v>
      </c>
      <c r="I71" s="20">
        <v>1071</v>
      </c>
      <c r="J71" s="15">
        <f t="shared" si="4"/>
        <v>-45</v>
      </c>
      <c r="K71" s="20">
        <v>790</v>
      </c>
      <c r="L71" s="20">
        <v>284.8</v>
      </c>
      <c r="M71" s="21" t="s">
        <v>227</v>
      </c>
      <c r="N71" s="91">
        <f t="shared" si="5"/>
        <v>642600</v>
      </c>
      <c r="O71" s="91">
        <f t="shared" si="6"/>
        <v>237000</v>
      </c>
      <c r="P71" s="91">
        <v>60000</v>
      </c>
      <c r="Q71" s="91">
        <f t="shared" si="7"/>
        <v>879600</v>
      </c>
    </row>
    <row r="72" spans="1:17" x14ac:dyDescent="0.2">
      <c r="A72" s="2">
        <v>66</v>
      </c>
      <c r="B72" s="18">
        <v>49</v>
      </c>
      <c r="C72" s="170">
        <v>12</v>
      </c>
      <c r="D72" s="17" t="s">
        <v>228</v>
      </c>
      <c r="E72" s="17" t="s">
        <v>229</v>
      </c>
      <c r="F72" s="17" t="s">
        <v>16</v>
      </c>
      <c r="G72" s="18" t="s">
        <v>230</v>
      </c>
      <c r="H72" s="19">
        <v>1000</v>
      </c>
      <c r="I72" s="20">
        <v>886</v>
      </c>
      <c r="J72" s="15">
        <f t="shared" si="4"/>
        <v>-114</v>
      </c>
      <c r="K72" s="20">
        <v>576</v>
      </c>
      <c r="L72" s="20">
        <v>194.04</v>
      </c>
      <c r="M72" s="21" t="s">
        <v>231</v>
      </c>
      <c r="N72" s="91">
        <f t="shared" si="5"/>
        <v>443000</v>
      </c>
      <c r="O72" s="91">
        <f t="shared" si="6"/>
        <v>172800</v>
      </c>
      <c r="P72" s="91">
        <v>50000</v>
      </c>
      <c r="Q72" s="91">
        <f t="shared" si="7"/>
        <v>615800</v>
      </c>
    </row>
    <row r="73" spans="1:17" x14ac:dyDescent="0.2">
      <c r="A73" s="2">
        <v>67</v>
      </c>
      <c r="B73" s="16">
        <v>50</v>
      </c>
      <c r="C73" s="170">
        <v>12</v>
      </c>
      <c r="D73" s="17" t="s">
        <v>232</v>
      </c>
      <c r="E73" s="17" t="s">
        <v>233</v>
      </c>
      <c r="F73" s="17" t="s">
        <v>16</v>
      </c>
      <c r="G73" s="18">
        <v>24</v>
      </c>
      <c r="H73" s="19">
        <v>684</v>
      </c>
      <c r="I73" s="20">
        <v>400</v>
      </c>
      <c r="J73" s="15">
        <f t="shared" si="4"/>
        <v>-284</v>
      </c>
      <c r="K73" s="20">
        <v>222</v>
      </c>
      <c r="L73" s="20">
        <v>88.78</v>
      </c>
      <c r="M73" s="21" t="s">
        <v>234</v>
      </c>
      <c r="N73" s="91">
        <f t="shared" si="5"/>
        <v>200000</v>
      </c>
      <c r="O73" s="91">
        <f t="shared" si="6"/>
        <v>66600</v>
      </c>
      <c r="P73" s="91">
        <v>50000</v>
      </c>
      <c r="Q73" s="91">
        <f t="shared" si="7"/>
        <v>266600</v>
      </c>
    </row>
    <row r="74" spans="1:17" x14ac:dyDescent="0.2">
      <c r="A74" s="2">
        <v>68</v>
      </c>
      <c r="B74" s="16">
        <v>51</v>
      </c>
      <c r="C74" s="170">
        <v>12</v>
      </c>
      <c r="D74" s="17" t="s">
        <v>137</v>
      </c>
      <c r="E74" s="17" t="s">
        <v>235</v>
      </c>
      <c r="F74" s="17" t="s">
        <v>16</v>
      </c>
      <c r="G74" s="18">
        <v>33</v>
      </c>
      <c r="H74" s="19">
        <v>597</v>
      </c>
      <c r="I74" s="19">
        <v>597</v>
      </c>
      <c r="J74" s="15">
        <f t="shared" si="4"/>
        <v>0</v>
      </c>
      <c r="K74" s="20">
        <v>448</v>
      </c>
      <c r="L74" s="20">
        <v>115.03</v>
      </c>
      <c r="M74" s="21" t="s">
        <v>236</v>
      </c>
      <c r="N74" s="91">
        <f t="shared" si="5"/>
        <v>298500</v>
      </c>
      <c r="O74" s="91">
        <f t="shared" si="6"/>
        <v>134400</v>
      </c>
      <c r="P74" s="91">
        <v>50000</v>
      </c>
      <c r="Q74" s="91">
        <f t="shared" si="7"/>
        <v>432900</v>
      </c>
    </row>
    <row r="75" spans="1:17" x14ac:dyDescent="0.2">
      <c r="A75" s="2">
        <v>69</v>
      </c>
      <c r="B75" s="16">
        <v>52</v>
      </c>
      <c r="C75" s="170">
        <v>10</v>
      </c>
      <c r="D75" s="17" t="s">
        <v>237</v>
      </c>
      <c r="E75" s="17" t="s">
        <v>238</v>
      </c>
      <c r="F75" s="17" t="s">
        <v>239</v>
      </c>
      <c r="G75" s="18">
        <v>31</v>
      </c>
      <c r="H75" s="19">
        <v>983</v>
      </c>
      <c r="I75" s="20">
        <v>843</v>
      </c>
      <c r="J75" s="15">
        <f t="shared" si="4"/>
        <v>-140</v>
      </c>
      <c r="K75" s="20">
        <v>317</v>
      </c>
      <c r="L75" s="20">
        <v>103</v>
      </c>
      <c r="M75" s="21" t="s">
        <v>240</v>
      </c>
      <c r="N75" s="91">
        <f t="shared" si="5"/>
        <v>421500</v>
      </c>
      <c r="O75" s="91">
        <f t="shared" si="6"/>
        <v>95100</v>
      </c>
      <c r="P75" s="91">
        <v>50000</v>
      </c>
      <c r="Q75" s="91">
        <f t="shared" si="7"/>
        <v>516600</v>
      </c>
    </row>
    <row r="76" spans="1:17" x14ac:dyDescent="0.2">
      <c r="A76" s="2">
        <v>70</v>
      </c>
      <c r="B76" s="16">
        <v>53</v>
      </c>
      <c r="C76" s="170">
        <v>10</v>
      </c>
      <c r="D76" s="17" t="s">
        <v>241</v>
      </c>
      <c r="E76" s="17" t="s">
        <v>242</v>
      </c>
      <c r="F76" s="17" t="s">
        <v>129</v>
      </c>
      <c r="G76" s="18">
        <v>85</v>
      </c>
      <c r="H76" s="19">
        <v>600</v>
      </c>
      <c r="I76" s="19">
        <v>600</v>
      </c>
      <c r="J76" s="15">
        <f t="shared" si="4"/>
        <v>0</v>
      </c>
      <c r="K76" s="20">
        <v>203</v>
      </c>
      <c r="L76" s="20">
        <v>82.94</v>
      </c>
      <c r="M76" s="21" t="s">
        <v>243</v>
      </c>
      <c r="N76" s="91">
        <f t="shared" si="5"/>
        <v>300000</v>
      </c>
      <c r="O76" s="91">
        <f t="shared" si="6"/>
        <v>60900</v>
      </c>
      <c r="P76" s="91">
        <v>50000</v>
      </c>
      <c r="Q76" s="91">
        <f t="shared" si="7"/>
        <v>360900</v>
      </c>
    </row>
    <row r="77" spans="1:17" x14ac:dyDescent="0.2">
      <c r="A77" s="2">
        <v>71</v>
      </c>
      <c r="B77" s="16">
        <v>54</v>
      </c>
      <c r="C77" s="170">
        <v>12</v>
      </c>
      <c r="D77" s="17" t="s">
        <v>244</v>
      </c>
      <c r="E77" s="17" t="s">
        <v>245</v>
      </c>
      <c r="F77" s="17" t="s">
        <v>16</v>
      </c>
      <c r="G77" s="18" t="s">
        <v>246</v>
      </c>
      <c r="H77" s="19">
        <v>606</v>
      </c>
      <c r="I77" s="19">
        <v>606</v>
      </c>
      <c r="J77" s="15">
        <f t="shared" si="4"/>
        <v>0</v>
      </c>
      <c r="K77" s="20">
        <v>385</v>
      </c>
      <c r="L77" s="20">
        <v>167</v>
      </c>
      <c r="M77" s="21" t="s">
        <v>247</v>
      </c>
      <c r="N77" s="91">
        <f t="shared" si="5"/>
        <v>303000</v>
      </c>
      <c r="O77" s="91">
        <f t="shared" si="6"/>
        <v>115500</v>
      </c>
      <c r="P77" s="91">
        <v>50000</v>
      </c>
      <c r="Q77" s="91">
        <f t="shared" si="7"/>
        <v>418500</v>
      </c>
    </row>
    <row r="78" spans="1:17" x14ac:dyDescent="0.2">
      <c r="A78" s="2">
        <v>72</v>
      </c>
      <c r="B78" s="16">
        <v>55</v>
      </c>
      <c r="C78" s="170">
        <v>12</v>
      </c>
      <c r="D78" s="17" t="s">
        <v>248</v>
      </c>
      <c r="E78" s="17" t="s">
        <v>249</v>
      </c>
      <c r="F78" s="17" t="s">
        <v>16</v>
      </c>
      <c r="G78" s="18">
        <v>29</v>
      </c>
      <c r="H78" s="19">
        <v>546</v>
      </c>
      <c r="I78" s="19">
        <v>546</v>
      </c>
      <c r="J78" s="15">
        <f t="shared" si="4"/>
        <v>0</v>
      </c>
      <c r="K78" s="20">
        <v>289</v>
      </c>
      <c r="L78" s="20">
        <v>152.12</v>
      </c>
      <c r="M78" s="21" t="s">
        <v>247</v>
      </c>
      <c r="N78" s="91">
        <f t="shared" si="5"/>
        <v>273000</v>
      </c>
      <c r="O78" s="91">
        <f t="shared" si="6"/>
        <v>86700</v>
      </c>
      <c r="P78" s="91">
        <v>50000</v>
      </c>
      <c r="Q78" s="91">
        <f t="shared" si="7"/>
        <v>359700</v>
      </c>
    </row>
    <row r="79" spans="1:17" x14ac:dyDescent="0.2">
      <c r="A79" s="2">
        <v>73</v>
      </c>
      <c r="B79" s="16">
        <v>56</v>
      </c>
      <c r="C79" s="170">
        <v>12</v>
      </c>
      <c r="D79" s="17" t="s">
        <v>250</v>
      </c>
      <c r="E79" s="17" t="s">
        <v>251</v>
      </c>
      <c r="F79" s="17" t="s">
        <v>16</v>
      </c>
      <c r="G79" s="18">
        <v>27</v>
      </c>
      <c r="H79" s="19">
        <v>600</v>
      </c>
      <c r="I79" s="19">
        <v>600</v>
      </c>
      <c r="J79" s="15">
        <f t="shared" si="4"/>
        <v>0</v>
      </c>
      <c r="K79" s="20">
        <v>273</v>
      </c>
      <c r="L79" s="20">
        <v>187.94</v>
      </c>
      <c r="M79" s="21" t="s">
        <v>252</v>
      </c>
      <c r="N79" s="91">
        <f t="shared" si="5"/>
        <v>300000</v>
      </c>
      <c r="O79" s="91">
        <f t="shared" si="6"/>
        <v>81900</v>
      </c>
      <c r="P79" s="91">
        <v>50000</v>
      </c>
      <c r="Q79" s="91">
        <f t="shared" si="7"/>
        <v>381900</v>
      </c>
    </row>
    <row r="80" spans="1:17" x14ac:dyDescent="0.2">
      <c r="A80" s="2">
        <v>74</v>
      </c>
      <c r="B80" s="16">
        <v>57</v>
      </c>
      <c r="C80" s="170">
        <v>12</v>
      </c>
      <c r="D80" s="17" t="s">
        <v>253</v>
      </c>
      <c r="E80" s="17" t="s">
        <v>254</v>
      </c>
      <c r="F80" s="17" t="s">
        <v>16</v>
      </c>
      <c r="G80" s="18">
        <v>87</v>
      </c>
      <c r="H80" s="19">
        <v>895</v>
      </c>
      <c r="I80" s="19">
        <v>895</v>
      </c>
      <c r="J80" s="15">
        <f t="shared" si="4"/>
        <v>0</v>
      </c>
      <c r="K80" s="20">
        <v>278</v>
      </c>
      <c r="L80" s="20">
        <v>56.37</v>
      </c>
      <c r="M80" s="21" t="s">
        <v>255</v>
      </c>
      <c r="N80" s="91">
        <f t="shared" si="5"/>
        <v>447500</v>
      </c>
      <c r="O80" s="91">
        <f t="shared" si="6"/>
        <v>83400</v>
      </c>
      <c r="P80" s="91">
        <v>50000</v>
      </c>
      <c r="Q80" s="91">
        <f t="shared" si="7"/>
        <v>530900</v>
      </c>
    </row>
    <row r="81" spans="1:17" x14ac:dyDescent="0.2">
      <c r="A81" s="2">
        <v>75</v>
      </c>
      <c r="B81" s="16">
        <v>58</v>
      </c>
      <c r="C81" s="170">
        <v>12</v>
      </c>
      <c r="D81" s="17" t="s">
        <v>253</v>
      </c>
      <c r="E81" s="17" t="s">
        <v>256</v>
      </c>
      <c r="F81" s="17" t="s">
        <v>16</v>
      </c>
      <c r="G81" s="18">
        <v>113</v>
      </c>
      <c r="H81" s="19">
        <v>1412</v>
      </c>
      <c r="I81" s="20">
        <v>1471</v>
      </c>
      <c r="J81" s="15">
        <f t="shared" si="4"/>
        <v>59</v>
      </c>
      <c r="K81" s="20">
        <v>523</v>
      </c>
      <c r="L81" s="20">
        <v>227.65</v>
      </c>
      <c r="M81" s="21" t="s">
        <v>257</v>
      </c>
      <c r="N81" s="91">
        <f t="shared" si="5"/>
        <v>735500</v>
      </c>
      <c r="O81" s="91">
        <f t="shared" si="6"/>
        <v>156900</v>
      </c>
      <c r="P81" s="91">
        <v>50000</v>
      </c>
      <c r="Q81" s="91">
        <f t="shared" si="7"/>
        <v>892400</v>
      </c>
    </row>
    <row r="82" spans="1:17" x14ac:dyDescent="0.2">
      <c r="A82" s="2">
        <v>76</v>
      </c>
      <c r="B82" s="16">
        <v>59</v>
      </c>
      <c r="C82" s="170">
        <v>10</v>
      </c>
      <c r="D82" s="17" t="s">
        <v>258</v>
      </c>
      <c r="E82" s="17" t="s">
        <v>259</v>
      </c>
      <c r="F82" s="17" t="s">
        <v>16</v>
      </c>
      <c r="G82" s="18">
        <v>91</v>
      </c>
      <c r="H82" s="19">
        <v>500</v>
      </c>
      <c r="I82" s="19">
        <v>500</v>
      </c>
      <c r="J82" s="15">
        <f t="shared" si="4"/>
        <v>0</v>
      </c>
      <c r="K82" s="20">
        <v>124</v>
      </c>
      <c r="L82" s="20">
        <v>21.86</v>
      </c>
      <c r="M82" s="21" t="s">
        <v>260</v>
      </c>
      <c r="N82" s="91">
        <f t="shared" si="5"/>
        <v>250000</v>
      </c>
      <c r="O82" s="91">
        <f t="shared" si="6"/>
        <v>37200</v>
      </c>
      <c r="P82" s="91">
        <v>50000</v>
      </c>
      <c r="Q82" s="91">
        <f t="shared" si="7"/>
        <v>287200</v>
      </c>
    </row>
    <row r="83" spans="1:17" x14ac:dyDescent="0.2">
      <c r="A83" s="2">
        <v>77</v>
      </c>
      <c r="B83" s="16">
        <v>60</v>
      </c>
      <c r="C83" s="170">
        <v>12</v>
      </c>
      <c r="D83" s="17" t="s">
        <v>261</v>
      </c>
      <c r="E83" s="17" t="s">
        <v>262</v>
      </c>
      <c r="F83" s="17" t="s">
        <v>16</v>
      </c>
      <c r="G83" s="18">
        <v>21</v>
      </c>
      <c r="H83" s="19">
        <v>560</v>
      </c>
      <c r="I83" s="19">
        <v>560</v>
      </c>
      <c r="J83" s="15">
        <f t="shared" si="4"/>
        <v>0</v>
      </c>
      <c r="K83" s="20">
        <v>271</v>
      </c>
      <c r="L83" s="20">
        <v>94.61</v>
      </c>
      <c r="M83" s="21" t="s">
        <v>263</v>
      </c>
      <c r="N83" s="91">
        <f t="shared" si="5"/>
        <v>280000</v>
      </c>
      <c r="O83" s="91">
        <f t="shared" si="6"/>
        <v>81300</v>
      </c>
      <c r="P83" s="91">
        <v>50000</v>
      </c>
      <c r="Q83" s="91">
        <f t="shared" si="7"/>
        <v>361300</v>
      </c>
    </row>
    <row r="84" spans="1:17" x14ac:dyDescent="0.2">
      <c r="A84" s="2">
        <v>78</v>
      </c>
      <c r="B84" s="16">
        <v>61</v>
      </c>
      <c r="C84" s="170">
        <v>12</v>
      </c>
      <c r="D84" s="17" t="s">
        <v>264</v>
      </c>
      <c r="E84" s="17" t="s">
        <v>265</v>
      </c>
      <c r="F84" s="17" t="s">
        <v>16</v>
      </c>
      <c r="G84" s="18" t="s">
        <v>266</v>
      </c>
      <c r="H84" s="19">
        <v>600</v>
      </c>
      <c r="I84" s="20">
        <v>598</v>
      </c>
      <c r="J84" s="15">
        <f t="shared" si="4"/>
        <v>-2</v>
      </c>
      <c r="K84" s="20">
        <v>296</v>
      </c>
      <c r="L84" s="20">
        <v>152.84</v>
      </c>
      <c r="M84" s="21" t="s">
        <v>267</v>
      </c>
      <c r="N84" s="91">
        <f t="shared" si="5"/>
        <v>299000</v>
      </c>
      <c r="O84" s="91">
        <f t="shared" si="6"/>
        <v>88800</v>
      </c>
      <c r="P84" s="91">
        <v>50000</v>
      </c>
      <c r="Q84" s="91">
        <f t="shared" si="7"/>
        <v>387800</v>
      </c>
    </row>
    <row r="85" spans="1:17" x14ac:dyDescent="0.2">
      <c r="A85" s="2">
        <v>79</v>
      </c>
      <c r="B85" s="16">
        <v>62</v>
      </c>
      <c r="C85" s="170">
        <v>12</v>
      </c>
      <c r="D85" s="17" t="s">
        <v>268</v>
      </c>
      <c r="E85" s="17" t="s">
        <v>269</v>
      </c>
      <c r="F85" s="17" t="s">
        <v>16</v>
      </c>
      <c r="G85" s="18">
        <v>111</v>
      </c>
      <c r="H85" s="19">
        <v>901</v>
      </c>
      <c r="I85" s="20">
        <v>534</v>
      </c>
      <c r="J85" s="15"/>
      <c r="K85" s="20">
        <v>298</v>
      </c>
      <c r="L85" s="20">
        <v>95.01</v>
      </c>
      <c r="M85" s="21" t="s">
        <v>270</v>
      </c>
      <c r="N85" s="91">
        <f t="shared" si="5"/>
        <v>267000</v>
      </c>
      <c r="O85" s="91">
        <f t="shared" si="6"/>
        <v>89400</v>
      </c>
      <c r="P85" s="91">
        <v>50000</v>
      </c>
      <c r="Q85" s="91">
        <f t="shared" si="7"/>
        <v>356400</v>
      </c>
    </row>
    <row r="86" spans="1:17" x14ac:dyDescent="0.2">
      <c r="A86" s="2">
        <v>80</v>
      </c>
      <c r="B86" s="16">
        <v>63</v>
      </c>
      <c r="C86" s="170">
        <v>12</v>
      </c>
      <c r="D86" s="17" t="s">
        <v>271</v>
      </c>
      <c r="E86" s="17" t="s">
        <v>272</v>
      </c>
      <c r="F86" s="17" t="s">
        <v>16</v>
      </c>
      <c r="G86" s="18" t="s">
        <v>273</v>
      </c>
      <c r="H86" s="19">
        <v>901</v>
      </c>
      <c r="I86" s="20">
        <v>367</v>
      </c>
      <c r="J86" s="15"/>
      <c r="K86" s="20">
        <v>142</v>
      </c>
      <c r="L86" s="20">
        <v>66.16</v>
      </c>
      <c r="M86" s="21" t="s">
        <v>274</v>
      </c>
      <c r="N86" s="91">
        <f t="shared" si="5"/>
        <v>183500</v>
      </c>
      <c r="O86" s="91">
        <f t="shared" si="6"/>
        <v>42600</v>
      </c>
      <c r="P86" s="91">
        <v>50000</v>
      </c>
      <c r="Q86" s="91">
        <f t="shared" si="7"/>
        <v>226100</v>
      </c>
    </row>
    <row r="87" spans="1:17" ht="30" x14ac:dyDescent="0.2">
      <c r="A87" s="2">
        <v>81</v>
      </c>
      <c r="B87" s="16">
        <v>64</v>
      </c>
      <c r="C87" s="170">
        <v>10</v>
      </c>
      <c r="D87" s="17" t="s">
        <v>275</v>
      </c>
      <c r="E87" s="17" t="s">
        <v>276</v>
      </c>
      <c r="F87" s="17" t="s">
        <v>277</v>
      </c>
      <c r="G87" s="18">
        <v>93</v>
      </c>
      <c r="H87" s="19">
        <v>624</v>
      </c>
      <c r="I87" s="19">
        <v>624</v>
      </c>
      <c r="J87" s="15">
        <f t="shared" si="4"/>
        <v>0</v>
      </c>
      <c r="K87" s="20">
        <v>365</v>
      </c>
      <c r="L87" s="20">
        <v>193.4</v>
      </c>
      <c r="M87" s="21" t="s">
        <v>278</v>
      </c>
      <c r="N87" s="91">
        <f t="shared" si="5"/>
        <v>312000</v>
      </c>
      <c r="O87" s="91">
        <f t="shared" si="6"/>
        <v>109500</v>
      </c>
      <c r="P87" s="91">
        <v>50000</v>
      </c>
      <c r="Q87" s="91">
        <f t="shared" si="7"/>
        <v>421500</v>
      </c>
    </row>
    <row r="88" spans="1:17" ht="31" x14ac:dyDescent="0.2">
      <c r="A88" s="2">
        <v>82</v>
      </c>
      <c r="B88" s="16">
        <v>65</v>
      </c>
      <c r="C88" s="170">
        <v>10</v>
      </c>
      <c r="D88" s="17" t="s">
        <v>279</v>
      </c>
      <c r="E88" s="17" t="s">
        <v>280</v>
      </c>
      <c r="F88" s="17" t="s">
        <v>16</v>
      </c>
      <c r="G88" s="18">
        <v>89</v>
      </c>
      <c r="H88" s="19">
        <v>900</v>
      </c>
      <c r="I88" s="19">
        <v>900</v>
      </c>
      <c r="J88" s="15">
        <f t="shared" si="4"/>
        <v>0</v>
      </c>
      <c r="K88" s="20">
        <v>340</v>
      </c>
      <c r="L88" s="20">
        <v>121.25</v>
      </c>
      <c r="M88" s="21" t="s">
        <v>281</v>
      </c>
      <c r="N88" s="91">
        <f t="shared" si="5"/>
        <v>450000</v>
      </c>
      <c r="O88" s="91">
        <f t="shared" si="6"/>
        <v>102000</v>
      </c>
      <c r="P88" s="91">
        <v>50000</v>
      </c>
      <c r="Q88" s="91">
        <f t="shared" si="7"/>
        <v>552000</v>
      </c>
    </row>
    <row r="89" spans="1:17" x14ac:dyDescent="0.2">
      <c r="A89" s="2">
        <v>83</v>
      </c>
      <c r="B89" s="16">
        <v>66</v>
      </c>
      <c r="C89" s="170">
        <v>12</v>
      </c>
      <c r="D89" s="17" t="s">
        <v>282</v>
      </c>
      <c r="E89" s="17" t="s">
        <v>283</v>
      </c>
      <c r="F89" s="17" t="s">
        <v>16</v>
      </c>
      <c r="G89" s="18">
        <v>117</v>
      </c>
      <c r="H89" s="19">
        <v>740</v>
      </c>
      <c r="I89" s="19">
        <v>807</v>
      </c>
      <c r="J89" s="15">
        <f t="shared" si="4"/>
        <v>67</v>
      </c>
      <c r="K89" s="20">
        <v>502</v>
      </c>
      <c r="L89" s="20">
        <v>186.94</v>
      </c>
      <c r="M89" s="21" t="s">
        <v>284</v>
      </c>
      <c r="N89" s="91">
        <f t="shared" si="5"/>
        <v>403500</v>
      </c>
      <c r="O89" s="91">
        <f t="shared" si="6"/>
        <v>150600</v>
      </c>
      <c r="P89" s="91">
        <v>50000</v>
      </c>
      <c r="Q89" s="91">
        <f t="shared" si="7"/>
        <v>554100</v>
      </c>
    </row>
    <row r="90" spans="1:17" x14ac:dyDescent="0.2">
      <c r="A90" s="2">
        <v>84</v>
      </c>
      <c r="B90" s="16">
        <v>67</v>
      </c>
      <c r="C90" s="170">
        <v>10</v>
      </c>
      <c r="D90" s="17" t="s">
        <v>285</v>
      </c>
      <c r="E90" s="17" t="s">
        <v>286</v>
      </c>
      <c r="F90" s="17" t="s">
        <v>16</v>
      </c>
      <c r="G90" s="18">
        <v>95</v>
      </c>
      <c r="H90" s="19">
        <v>830</v>
      </c>
      <c r="I90" s="20">
        <v>877</v>
      </c>
      <c r="J90" s="15">
        <f t="shared" si="4"/>
        <v>47</v>
      </c>
      <c r="K90" s="20">
        <v>274</v>
      </c>
      <c r="L90" s="20">
        <v>70</v>
      </c>
      <c r="M90" s="21" t="s">
        <v>287</v>
      </c>
      <c r="N90" s="91">
        <f t="shared" si="5"/>
        <v>438500</v>
      </c>
      <c r="O90" s="91">
        <f t="shared" si="6"/>
        <v>82200</v>
      </c>
      <c r="P90" s="91">
        <v>50000</v>
      </c>
      <c r="Q90" s="91">
        <f t="shared" si="7"/>
        <v>520700</v>
      </c>
    </row>
    <row r="91" spans="1:17" x14ac:dyDescent="0.2">
      <c r="A91" s="2">
        <v>85</v>
      </c>
      <c r="B91" s="16">
        <v>68</v>
      </c>
      <c r="C91" s="170">
        <v>8</v>
      </c>
      <c r="D91" s="17" t="s">
        <v>288</v>
      </c>
      <c r="E91" s="17" t="s">
        <v>289</v>
      </c>
      <c r="F91" s="17" t="s">
        <v>129</v>
      </c>
      <c r="G91" s="18">
        <v>97</v>
      </c>
      <c r="H91" s="19">
        <v>734</v>
      </c>
      <c r="I91" s="19">
        <v>734</v>
      </c>
      <c r="J91" s="15">
        <f t="shared" si="4"/>
        <v>0</v>
      </c>
      <c r="K91" s="20">
        <v>378</v>
      </c>
      <c r="L91" s="20">
        <v>121.55</v>
      </c>
      <c r="M91" s="21" t="s">
        <v>290</v>
      </c>
      <c r="N91" s="91">
        <f t="shared" si="5"/>
        <v>367000</v>
      </c>
      <c r="O91" s="91">
        <f t="shared" si="6"/>
        <v>113400</v>
      </c>
      <c r="P91" s="91">
        <v>50000</v>
      </c>
      <c r="Q91" s="91">
        <f t="shared" si="7"/>
        <v>480400</v>
      </c>
    </row>
    <row r="92" spans="1:17" x14ac:dyDescent="0.2">
      <c r="A92" s="2">
        <v>86</v>
      </c>
      <c r="B92" s="16">
        <v>69</v>
      </c>
      <c r="C92" s="170">
        <v>8</v>
      </c>
      <c r="D92" s="17" t="s">
        <v>291</v>
      </c>
      <c r="E92" s="17" t="s">
        <v>292</v>
      </c>
      <c r="F92" s="17" t="s">
        <v>293</v>
      </c>
      <c r="G92" s="18">
        <v>121</v>
      </c>
      <c r="H92" s="19">
        <v>520</v>
      </c>
      <c r="I92" s="19">
        <v>520</v>
      </c>
      <c r="J92" s="15">
        <f t="shared" si="4"/>
        <v>0</v>
      </c>
      <c r="K92" s="20">
        <v>305</v>
      </c>
      <c r="L92" s="20">
        <v>132.96</v>
      </c>
      <c r="M92" s="21" t="s">
        <v>294</v>
      </c>
      <c r="N92" s="91">
        <f t="shared" si="5"/>
        <v>260000</v>
      </c>
      <c r="O92" s="91">
        <f t="shared" si="6"/>
        <v>91500</v>
      </c>
      <c r="P92" s="91">
        <v>50000</v>
      </c>
      <c r="Q92" s="91">
        <f t="shared" si="7"/>
        <v>351500</v>
      </c>
    </row>
    <row r="93" spans="1:17" x14ac:dyDescent="0.2">
      <c r="A93" s="2">
        <v>87</v>
      </c>
      <c r="B93" s="16">
        <v>70</v>
      </c>
      <c r="C93" s="170">
        <v>8</v>
      </c>
      <c r="D93" s="17" t="s">
        <v>295</v>
      </c>
      <c r="E93" s="17" t="s">
        <v>296</v>
      </c>
      <c r="F93" s="17" t="s">
        <v>293</v>
      </c>
      <c r="G93" s="18" t="s">
        <v>297</v>
      </c>
      <c r="H93" s="19">
        <v>380</v>
      </c>
      <c r="I93" s="19">
        <v>380</v>
      </c>
      <c r="J93" s="15">
        <f t="shared" si="4"/>
        <v>0</v>
      </c>
      <c r="K93" s="20">
        <v>240</v>
      </c>
      <c r="L93" s="20">
        <v>110.6</v>
      </c>
      <c r="M93" s="21" t="s">
        <v>298</v>
      </c>
      <c r="N93" s="91">
        <f t="shared" si="5"/>
        <v>190000</v>
      </c>
      <c r="O93" s="91">
        <f t="shared" si="6"/>
        <v>72000</v>
      </c>
      <c r="P93" s="91">
        <v>50000</v>
      </c>
      <c r="Q93" s="91">
        <f t="shared" si="7"/>
        <v>262000</v>
      </c>
    </row>
    <row r="94" spans="1:17" x14ac:dyDescent="0.2">
      <c r="A94" s="2">
        <v>88</v>
      </c>
      <c r="B94" s="16">
        <v>71</v>
      </c>
      <c r="C94" s="170">
        <v>8</v>
      </c>
      <c r="D94" s="17" t="s">
        <v>299</v>
      </c>
      <c r="E94" s="17" t="s">
        <v>300</v>
      </c>
      <c r="F94" s="17" t="s">
        <v>293</v>
      </c>
      <c r="G94" s="18">
        <v>40</v>
      </c>
      <c r="H94" s="19">
        <v>500</v>
      </c>
      <c r="I94" s="19">
        <v>500</v>
      </c>
      <c r="J94" s="15">
        <f t="shared" si="4"/>
        <v>0</v>
      </c>
      <c r="K94" s="20">
        <v>333</v>
      </c>
      <c r="L94" s="20">
        <v>255.79</v>
      </c>
      <c r="M94" s="21" t="s">
        <v>301</v>
      </c>
      <c r="N94" s="91">
        <f t="shared" si="5"/>
        <v>250000</v>
      </c>
      <c r="O94" s="91">
        <f t="shared" si="6"/>
        <v>99900</v>
      </c>
      <c r="P94" s="91">
        <v>50000</v>
      </c>
      <c r="Q94" s="91">
        <f t="shared" si="7"/>
        <v>349900</v>
      </c>
    </row>
    <row r="95" spans="1:17" ht="30" x14ac:dyDescent="0.2">
      <c r="A95" s="2">
        <v>89</v>
      </c>
      <c r="B95" s="16">
        <v>72</v>
      </c>
      <c r="C95" s="170">
        <v>12</v>
      </c>
      <c r="D95" s="17" t="s">
        <v>241</v>
      </c>
      <c r="E95" s="17" t="s">
        <v>302</v>
      </c>
      <c r="F95" s="17" t="s">
        <v>303</v>
      </c>
      <c r="G95" s="18">
        <v>119</v>
      </c>
      <c r="H95" s="19">
        <v>600</v>
      </c>
      <c r="I95" s="20">
        <v>516</v>
      </c>
      <c r="J95" s="15">
        <f t="shared" si="4"/>
        <v>-84</v>
      </c>
      <c r="K95" s="20">
        <v>273</v>
      </c>
      <c r="L95" s="20">
        <v>55.1</v>
      </c>
      <c r="M95" s="21" t="s">
        <v>304</v>
      </c>
      <c r="N95" s="91">
        <f t="shared" si="5"/>
        <v>258000</v>
      </c>
      <c r="O95" s="91">
        <f t="shared" si="6"/>
        <v>81900</v>
      </c>
      <c r="P95" s="91">
        <v>50000</v>
      </c>
      <c r="Q95" s="91">
        <f t="shared" si="7"/>
        <v>339900</v>
      </c>
    </row>
    <row r="96" spans="1:17" x14ac:dyDescent="0.2">
      <c r="A96" s="2">
        <v>90</v>
      </c>
      <c r="B96" s="24">
        <v>73</v>
      </c>
      <c r="C96" s="170"/>
      <c r="D96" s="17" t="s">
        <v>305</v>
      </c>
      <c r="E96" s="17" t="s">
        <v>306</v>
      </c>
      <c r="F96" s="17" t="s">
        <v>16</v>
      </c>
      <c r="G96" s="18">
        <v>63</v>
      </c>
      <c r="H96" s="19">
        <v>286</v>
      </c>
      <c r="I96" s="19">
        <v>286</v>
      </c>
      <c r="J96" s="15">
        <f t="shared" si="4"/>
        <v>0</v>
      </c>
      <c r="K96" s="20">
        <v>141</v>
      </c>
      <c r="L96" s="20">
        <v>93.53</v>
      </c>
      <c r="M96" s="21" t="s">
        <v>123</v>
      </c>
      <c r="N96" s="91">
        <f t="shared" si="5"/>
        <v>143000</v>
      </c>
      <c r="O96" s="91">
        <f t="shared" si="6"/>
        <v>42300</v>
      </c>
      <c r="P96" s="91">
        <v>50000</v>
      </c>
      <c r="Q96" s="91">
        <f t="shared" si="7"/>
        <v>185300</v>
      </c>
    </row>
    <row r="97" spans="1:17" x14ac:dyDescent="0.2">
      <c r="A97" s="2">
        <v>91</v>
      </c>
      <c r="B97" s="24">
        <v>74</v>
      </c>
      <c r="C97" s="170">
        <v>9</v>
      </c>
      <c r="D97" s="17" t="s">
        <v>307</v>
      </c>
      <c r="E97" s="17" t="s">
        <v>308</v>
      </c>
      <c r="F97" s="17" t="s">
        <v>16</v>
      </c>
      <c r="G97" s="18">
        <v>107</v>
      </c>
      <c r="H97" s="19">
        <v>660</v>
      </c>
      <c r="I97" s="19">
        <v>660</v>
      </c>
      <c r="J97" s="15">
        <f t="shared" si="4"/>
        <v>0</v>
      </c>
      <c r="K97" s="20">
        <v>404</v>
      </c>
      <c r="L97" s="20">
        <v>110.21</v>
      </c>
      <c r="M97" s="21" t="s">
        <v>309</v>
      </c>
      <c r="N97" s="91">
        <f t="shared" si="5"/>
        <v>330000</v>
      </c>
      <c r="O97" s="91">
        <f t="shared" si="6"/>
        <v>121200</v>
      </c>
      <c r="P97" s="91">
        <v>50000</v>
      </c>
      <c r="Q97" s="91">
        <f t="shared" si="7"/>
        <v>451200</v>
      </c>
    </row>
    <row r="98" spans="1:17" x14ac:dyDescent="0.2">
      <c r="A98" s="2">
        <v>92</v>
      </c>
      <c r="B98" s="24">
        <v>75</v>
      </c>
      <c r="C98" s="170">
        <v>9</v>
      </c>
      <c r="D98" s="17" t="s">
        <v>307</v>
      </c>
      <c r="E98" s="17" t="s">
        <v>310</v>
      </c>
      <c r="F98" s="17" t="s">
        <v>16</v>
      </c>
      <c r="G98" s="18">
        <v>105</v>
      </c>
      <c r="H98" s="19">
        <v>1592</v>
      </c>
      <c r="I98" s="20">
        <v>663</v>
      </c>
      <c r="J98" s="15">
        <f t="shared" si="4"/>
        <v>-929</v>
      </c>
      <c r="K98" s="20">
        <v>146</v>
      </c>
      <c r="L98" s="20">
        <v>72.12</v>
      </c>
      <c r="M98" s="21" t="s">
        <v>196</v>
      </c>
      <c r="N98" s="91">
        <f t="shared" si="5"/>
        <v>331500</v>
      </c>
      <c r="O98" s="91">
        <f t="shared" si="6"/>
        <v>43800</v>
      </c>
      <c r="P98" s="91">
        <v>50000</v>
      </c>
      <c r="Q98" s="91">
        <f t="shared" si="7"/>
        <v>375300</v>
      </c>
    </row>
    <row r="99" spans="1:17" x14ac:dyDescent="0.2">
      <c r="A99" s="2">
        <v>93</v>
      </c>
      <c r="B99" s="24">
        <v>76</v>
      </c>
      <c r="C99" s="170">
        <v>9</v>
      </c>
      <c r="D99" s="17" t="s">
        <v>311</v>
      </c>
      <c r="E99" s="17" t="s">
        <v>312</v>
      </c>
      <c r="F99" s="17" t="s">
        <v>16</v>
      </c>
      <c r="G99" s="18" t="s">
        <v>313</v>
      </c>
      <c r="H99" s="19">
        <v>1592</v>
      </c>
      <c r="I99" s="20">
        <v>929</v>
      </c>
      <c r="J99" s="15">
        <f t="shared" si="4"/>
        <v>-663</v>
      </c>
      <c r="K99" s="20">
        <v>465</v>
      </c>
      <c r="L99" s="20">
        <v>224.02</v>
      </c>
      <c r="M99" s="21" t="s">
        <v>314</v>
      </c>
      <c r="N99" s="91">
        <f t="shared" si="5"/>
        <v>464500</v>
      </c>
      <c r="O99" s="91">
        <f t="shared" si="6"/>
        <v>139500</v>
      </c>
      <c r="P99" s="91">
        <v>50000</v>
      </c>
      <c r="Q99" s="91">
        <f t="shared" si="7"/>
        <v>604000</v>
      </c>
    </row>
    <row r="100" spans="1:17" x14ac:dyDescent="0.2">
      <c r="A100" s="2">
        <v>94</v>
      </c>
      <c r="B100" s="24">
        <v>77</v>
      </c>
      <c r="C100" s="170">
        <v>9</v>
      </c>
      <c r="D100" s="17" t="s">
        <v>315</v>
      </c>
      <c r="E100" s="17" t="s">
        <v>316</v>
      </c>
      <c r="F100" s="17" t="s">
        <v>16</v>
      </c>
      <c r="G100" s="18">
        <v>103</v>
      </c>
      <c r="H100" s="19">
        <v>488</v>
      </c>
      <c r="I100" s="19">
        <v>488</v>
      </c>
      <c r="J100" s="15">
        <f t="shared" si="4"/>
        <v>0</v>
      </c>
      <c r="K100" s="20">
        <v>93</v>
      </c>
      <c r="L100" s="20">
        <v>39.4</v>
      </c>
      <c r="M100" s="21" t="s">
        <v>317</v>
      </c>
      <c r="N100" s="91">
        <f t="shared" si="5"/>
        <v>244000</v>
      </c>
      <c r="O100" s="91">
        <f t="shared" si="6"/>
        <v>27900</v>
      </c>
      <c r="P100" s="91">
        <v>50000</v>
      </c>
      <c r="Q100" s="91">
        <f t="shared" si="7"/>
        <v>271900</v>
      </c>
    </row>
    <row r="101" spans="1:17" x14ac:dyDescent="0.2">
      <c r="A101" s="2">
        <v>95</v>
      </c>
      <c r="B101" s="24">
        <v>78</v>
      </c>
      <c r="C101" s="170">
        <v>9</v>
      </c>
      <c r="D101" s="17" t="s">
        <v>241</v>
      </c>
      <c r="E101" s="17" t="s">
        <v>318</v>
      </c>
      <c r="F101" s="17" t="s">
        <v>16</v>
      </c>
      <c r="G101" s="18">
        <v>101</v>
      </c>
      <c r="H101" s="19">
        <v>600</v>
      </c>
      <c r="I101" s="20">
        <v>670</v>
      </c>
      <c r="J101" s="15">
        <f t="shared" si="4"/>
        <v>70</v>
      </c>
      <c r="K101" s="20">
        <v>134</v>
      </c>
      <c r="L101" s="20">
        <v>43.11</v>
      </c>
      <c r="M101" s="21" t="s">
        <v>319</v>
      </c>
      <c r="N101" s="91">
        <f t="shared" si="5"/>
        <v>335000</v>
      </c>
      <c r="O101" s="91">
        <f t="shared" si="6"/>
        <v>40200</v>
      </c>
      <c r="P101" s="91">
        <v>50000</v>
      </c>
      <c r="Q101" s="91">
        <f t="shared" si="7"/>
        <v>375200</v>
      </c>
    </row>
    <row r="102" spans="1:17" x14ac:dyDescent="0.2">
      <c r="A102" s="2">
        <v>96</v>
      </c>
      <c r="B102" s="24">
        <v>79</v>
      </c>
      <c r="C102" s="170">
        <v>9</v>
      </c>
      <c r="D102" s="17" t="s">
        <v>320</v>
      </c>
      <c r="E102" s="17" t="s">
        <v>321</v>
      </c>
      <c r="F102" s="17" t="s">
        <v>16</v>
      </c>
      <c r="G102" s="18">
        <v>1</v>
      </c>
      <c r="H102" s="19">
        <v>558</v>
      </c>
      <c r="I102" s="20">
        <v>572</v>
      </c>
      <c r="J102" s="15">
        <f t="shared" si="4"/>
        <v>14</v>
      </c>
      <c r="K102" s="20">
        <v>295</v>
      </c>
      <c r="L102" s="20">
        <v>99.59</v>
      </c>
      <c r="M102" s="21" t="s">
        <v>322</v>
      </c>
      <c r="N102" s="91">
        <f t="shared" si="5"/>
        <v>343200</v>
      </c>
      <c r="O102" s="91">
        <f t="shared" si="6"/>
        <v>88500</v>
      </c>
      <c r="P102" s="91">
        <v>60000</v>
      </c>
      <c r="Q102" s="91">
        <f t="shared" si="7"/>
        <v>431700</v>
      </c>
    </row>
    <row r="103" spans="1:17" x14ac:dyDescent="0.2">
      <c r="A103" s="2">
        <v>97</v>
      </c>
      <c r="B103" s="24">
        <v>80</v>
      </c>
      <c r="C103" s="170">
        <v>9</v>
      </c>
      <c r="D103" s="17" t="s">
        <v>323</v>
      </c>
      <c r="E103" s="17" t="s">
        <v>324</v>
      </c>
      <c r="F103" s="17" t="s">
        <v>16</v>
      </c>
      <c r="G103" s="18">
        <v>3</v>
      </c>
      <c r="H103" s="19">
        <v>1310</v>
      </c>
      <c r="I103" s="19">
        <v>1310</v>
      </c>
      <c r="J103" s="15">
        <f t="shared" si="4"/>
        <v>0</v>
      </c>
      <c r="K103" s="20">
        <v>639</v>
      </c>
      <c r="L103" s="20">
        <v>269.67</v>
      </c>
      <c r="M103" s="21" t="s">
        <v>325</v>
      </c>
      <c r="N103" s="91">
        <f t="shared" si="5"/>
        <v>786000</v>
      </c>
      <c r="O103" s="91">
        <f t="shared" si="6"/>
        <v>191700</v>
      </c>
      <c r="P103" s="91">
        <v>60000</v>
      </c>
      <c r="Q103" s="91">
        <f t="shared" si="7"/>
        <v>977700</v>
      </c>
    </row>
    <row r="104" spans="1:17" x14ac:dyDescent="0.2">
      <c r="A104" s="2">
        <v>98</v>
      </c>
      <c r="B104" s="24">
        <v>81</v>
      </c>
      <c r="C104" s="170">
        <v>9</v>
      </c>
      <c r="D104" s="17" t="s">
        <v>326</v>
      </c>
      <c r="E104" s="17" t="s">
        <v>327</v>
      </c>
      <c r="F104" s="17" t="s">
        <v>16</v>
      </c>
      <c r="G104" s="18" t="s">
        <v>328</v>
      </c>
      <c r="H104" s="19">
        <v>885</v>
      </c>
      <c r="I104" s="20">
        <v>904</v>
      </c>
      <c r="J104" s="15">
        <f t="shared" si="4"/>
        <v>19</v>
      </c>
      <c r="K104" s="20">
        <v>508</v>
      </c>
      <c r="L104" s="20">
        <v>125.99</v>
      </c>
      <c r="M104" s="21" t="s">
        <v>329</v>
      </c>
      <c r="N104" s="91">
        <f t="shared" si="5"/>
        <v>452000</v>
      </c>
      <c r="O104" s="91">
        <f t="shared" si="6"/>
        <v>152400</v>
      </c>
      <c r="P104" s="91">
        <v>50000</v>
      </c>
      <c r="Q104" s="91">
        <f t="shared" si="7"/>
        <v>604400</v>
      </c>
    </row>
    <row r="105" spans="1:17" x14ac:dyDescent="0.2">
      <c r="A105" s="2">
        <v>99</v>
      </c>
      <c r="B105" s="24">
        <v>82</v>
      </c>
      <c r="C105" s="170">
        <v>9</v>
      </c>
      <c r="D105" s="17" t="s">
        <v>330</v>
      </c>
      <c r="E105" s="17" t="s">
        <v>331</v>
      </c>
      <c r="F105" s="17" t="s">
        <v>16</v>
      </c>
      <c r="G105" s="18" t="s">
        <v>332</v>
      </c>
      <c r="H105" s="19">
        <v>430</v>
      </c>
      <c r="I105" s="19">
        <v>430</v>
      </c>
      <c r="J105" s="15">
        <f t="shared" si="4"/>
        <v>0</v>
      </c>
      <c r="K105" s="20">
        <v>179</v>
      </c>
      <c r="L105" s="20">
        <v>28.6</v>
      </c>
      <c r="M105" s="21" t="s">
        <v>333</v>
      </c>
      <c r="N105" s="91">
        <f t="shared" si="5"/>
        <v>215000</v>
      </c>
      <c r="O105" s="91">
        <f t="shared" si="6"/>
        <v>53700</v>
      </c>
      <c r="P105" s="91">
        <v>50000</v>
      </c>
      <c r="Q105" s="91">
        <f t="shared" si="7"/>
        <v>268700</v>
      </c>
    </row>
    <row r="106" spans="1:17" x14ac:dyDescent="0.2">
      <c r="A106" s="2">
        <v>100</v>
      </c>
      <c r="B106" s="24">
        <v>83</v>
      </c>
      <c r="C106" s="170">
        <v>12</v>
      </c>
      <c r="D106" s="17" t="s">
        <v>334</v>
      </c>
      <c r="E106" s="17" t="s">
        <v>335</v>
      </c>
      <c r="F106" s="17" t="s">
        <v>16</v>
      </c>
      <c r="G106" s="18">
        <v>7</v>
      </c>
      <c r="H106" s="19">
        <v>586</v>
      </c>
      <c r="I106" s="19">
        <v>586</v>
      </c>
      <c r="J106" s="15">
        <f t="shared" si="4"/>
        <v>0</v>
      </c>
      <c r="K106" s="20">
        <v>200</v>
      </c>
      <c r="L106" s="20">
        <v>99.66</v>
      </c>
      <c r="M106" s="21" t="s">
        <v>336</v>
      </c>
      <c r="N106" s="91">
        <f t="shared" si="5"/>
        <v>293000</v>
      </c>
      <c r="O106" s="91">
        <f t="shared" si="6"/>
        <v>60000</v>
      </c>
      <c r="P106" s="91">
        <v>50000</v>
      </c>
      <c r="Q106" s="91">
        <f t="shared" si="7"/>
        <v>353000</v>
      </c>
    </row>
    <row r="107" spans="1:17" x14ac:dyDescent="0.2">
      <c r="A107" s="2">
        <v>101</v>
      </c>
      <c r="B107" s="24">
        <v>84</v>
      </c>
      <c r="C107" s="170">
        <v>12</v>
      </c>
      <c r="D107" s="17" t="s">
        <v>337</v>
      </c>
      <c r="E107" s="17" t="s">
        <v>338</v>
      </c>
      <c r="F107" s="17" t="s">
        <v>16</v>
      </c>
      <c r="G107" s="18">
        <v>109</v>
      </c>
      <c r="H107" s="19">
        <v>923</v>
      </c>
      <c r="I107" s="19">
        <v>923</v>
      </c>
      <c r="J107" s="15">
        <f t="shared" si="4"/>
        <v>0</v>
      </c>
      <c r="K107" s="20">
        <v>521</v>
      </c>
      <c r="L107" s="20">
        <v>136.53</v>
      </c>
      <c r="M107" s="21" t="s">
        <v>339</v>
      </c>
      <c r="N107" s="91">
        <f t="shared" si="5"/>
        <v>461500</v>
      </c>
      <c r="O107" s="91">
        <f t="shared" si="6"/>
        <v>156300</v>
      </c>
      <c r="P107" s="91">
        <v>50000</v>
      </c>
      <c r="Q107" s="91">
        <f t="shared" si="7"/>
        <v>617800</v>
      </c>
    </row>
    <row r="108" spans="1:17" x14ac:dyDescent="0.2">
      <c r="A108" s="2">
        <v>102</v>
      </c>
      <c r="B108" s="24">
        <v>85</v>
      </c>
      <c r="C108" s="170">
        <v>12</v>
      </c>
      <c r="D108" s="17" t="s">
        <v>340</v>
      </c>
      <c r="E108" s="17" t="s">
        <v>341</v>
      </c>
      <c r="F108" s="17" t="s">
        <v>16</v>
      </c>
      <c r="G108" s="18" t="s">
        <v>342</v>
      </c>
      <c r="H108" s="19">
        <v>1090</v>
      </c>
      <c r="I108" s="19">
        <v>1090</v>
      </c>
      <c r="J108" s="15">
        <f t="shared" si="4"/>
        <v>0</v>
      </c>
      <c r="K108" s="20">
        <v>557</v>
      </c>
      <c r="L108" s="20">
        <v>233.09</v>
      </c>
      <c r="M108" s="21" t="s">
        <v>343</v>
      </c>
      <c r="N108" s="91">
        <f t="shared" si="5"/>
        <v>654000</v>
      </c>
      <c r="O108" s="91">
        <f t="shared" si="6"/>
        <v>167100</v>
      </c>
      <c r="P108" s="91">
        <v>60000</v>
      </c>
      <c r="Q108" s="91">
        <f t="shared" si="7"/>
        <v>821100</v>
      </c>
    </row>
    <row r="109" spans="1:17" x14ac:dyDescent="0.2">
      <c r="A109" s="2">
        <v>103</v>
      </c>
      <c r="B109" s="24">
        <v>86</v>
      </c>
      <c r="C109" s="170">
        <v>9</v>
      </c>
      <c r="D109" s="17" t="s">
        <v>344</v>
      </c>
      <c r="E109" s="17" t="s">
        <v>345</v>
      </c>
      <c r="F109" s="17" t="s">
        <v>16</v>
      </c>
      <c r="G109" s="18">
        <v>11</v>
      </c>
      <c r="H109" s="19">
        <v>631</v>
      </c>
      <c r="I109" s="19">
        <v>631</v>
      </c>
      <c r="J109" s="15">
        <f t="shared" si="4"/>
        <v>0</v>
      </c>
      <c r="K109" s="20">
        <v>227</v>
      </c>
      <c r="L109" s="20">
        <v>107.48</v>
      </c>
      <c r="M109" s="21" t="s">
        <v>346</v>
      </c>
      <c r="N109" s="91">
        <f t="shared" si="5"/>
        <v>315500</v>
      </c>
      <c r="O109" s="91">
        <f t="shared" si="6"/>
        <v>68100</v>
      </c>
      <c r="P109" s="91">
        <v>50000</v>
      </c>
      <c r="Q109" s="91">
        <f t="shared" si="7"/>
        <v>383600</v>
      </c>
    </row>
    <row r="110" spans="1:17" x14ac:dyDescent="0.2">
      <c r="A110" s="2">
        <v>104</v>
      </c>
      <c r="B110" s="24">
        <v>87</v>
      </c>
      <c r="C110" s="170">
        <v>12</v>
      </c>
      <c r="D110" s="17" t="s">
        <v>347</v>
      </c>
      <c r="E110" s="17" t="s">
        <v>348</v>
      </c>
      <c r="F110" s="17" t="s">
        <v>16</v>
      </c>
      <c r="G110" s="18">
        <v>13</v>
      </c>
      <c r="H110" s="19">
        <v>600</v>
      </c>
      <c r="I110" s="20">
        <v>612</v>
      </c>
      <c r="J110" s="15">
        <f t="shared" si="4"/>
        <v>12</v>
      </c>
      <c r="K110" s="20">
        <v>180</v>
      </c>
      <c r="L110" s="20">
        <v>69.61</v>
      </c>
      <c r="M110" s="21" t="s">
        <v>349</v>
      </c>
      <c r="N110" s="91">
        <f t="shared" si="5"/>
        <v>306000</v>
      </c>
      <c r="O110" s="91">
        <f t="shared" si="6"/>
        <v>54000</v>
      </c>
      <c r="P110" s="91">
        <v>50000</v>
      </c>
      <c r="Q110" s="91">
        <f t="shared" si="7"/>
        <v>360000</v>
      </c>
    </row>
    <row r="111" spans="1:17" x14ac:dyDescent="0.2">
      <c r="A111" s="2">
        <v>105</v>
      </c>
      <c r="B111" s="24">
        <v>88</v>
      </c>
      <c r="C111" s="170">
        <v>9</v>
      </c>
      <c r="D111" s="17" t="s">
        <v>350</v>
      </c>
      <c r="E111" s="17" t="s">
        <v>351</v>
      </c>
      <c r="F111" s="17" t="s">
        <v>16</v>
      </c>
      <c r="G111" s="18" t="s">
        <v>352</v>
      </c>
      <c r="H111" s="19">
        <v>588</v>
      </c>
      <c r="I111" s="19">
        <v>588</v>
      </c>
      <c r="J111" s="15">
        <f t="shared" si="4"/>
        <v>0</v>
      </c>
      <c r="K111" s="20">
        <v>225</v>
      </c>
      <c r="L111" s="20">
        <v>179.76</v>
      </c>
      <c r="M111" s="21" t="s">
        <v>353</v>
      </c>
      <c r="N111" s="91">
        <f t="shared" si="5"/>
        <v>294000</v>
      </c>
      <c r="O111" s="91">
        <f t="shared" si="6"/>
        <v>67500</v>
      </c>
      <c r="P111" s="91">
        <v>50000</v>
      </c>
      <c r="Q111" s="91">
        <f t="shared" si="7"/>
        <v>361500</v>
      </c>
    </row>
    <row r="112" spans="1:17" x14ac:dyDescent="0.2">
      <c r="A112" s="2">
        <v>106</v>
      </c>
      <c r="B112" s="25">
        <v>89</v>
      </c>
      <c r="C112" s="170">
        <v>9</v>
      </c>
      <c r="D112" s="17" t="s">
        <v>354</v>
      </c>
      <c r="E112" s="17" t="s">
        <v>355</v>
      </c>
      <c r="F112" s="17" t="s">
        <v>16</v>
      </c>
      <c r="G112" s="18">
        <v>20</v>
      </c>
      <c r="H112" s="19">
        <v>600</v>
      </c>
      <c r="I112" s="19">
        <v>600</v>
      </c>
      <c r="J112" s="15">
        <f t="shared" si="4"/>
        <v>0</v>
      </c>
      <c r="K112" s="20">
        <v>360</v>
      </c>
      <c r="L112" s="20">
        <v>137.62</v>
      </c>
      <c r="M112" s="21" t="s">
        <v>356</v>
      </c>
      <c r="N112" s="91">
        <f t="shared" si="5"/>
        <v>360000</v>
      </c>
      <c r="O112" s="91">
        <f t="shared" si="6"/>
        <v>108000</v>
      </c>
      <c r="P112" s="91">
        <v>60000</v>
      </c>
      <c r="Q112" s="91">
        <f t="shared" si="7"/>
        <v>468000</v>
      </c>
    </row>
    <row r="113" spans="1:17" x14ac:dyDescent="0.2">
      <c r="A113" s="2">
        <v>107</v>
      </c>
      <c r="B113" s="25">
        <v>90</v>
      </c>
      <c r="C113" s="170">
        <v>9</v>
      </c>
      <c r="D113" s="17" t="s">
        <v>357</v>
      </c>
      <c r="E113" s="17" t="s">
        <v>358</v>
      </c>
      <c r="F113" s="17" t="s">
        <v>16</v>
      </c>
      <c r="G113" s="18" t="s">
        <v>359</v>
      </c>
      <c r="H113" s="19">
        <v>300</v>
      </c>
      <c r="I113" s="20">
        <v>295</v>
      </c>
      <c r="J113" s="15">
        <f t="shared" si="4"/>
        <v>-5</v>
      </c>
      <c r="K113" s="20">
        <v>295</v>
      </c>
      <c r="L113" s="20">
        <v>31.36</v>
      </c>
      <c r="M113" s="21" t="s">
        <v>360</v>
      </c>
      <c r="N113" s="91">
        <f t="shared" si="5"/>
        <v>177000</v>
      </c>
      <c r="O113" s="91">
        <f t="shared" si="6"/>
        <v>88500</v>
      </c>
      <c r="P113" s="91">
        <v>60000</v>
      </c>
      <c r="Q113" s="91">
        <f t="shared" si="7"/>
        <v>265500</v>
      </c>
    </row>
    <row r="114" spans="1:17" ht="30" x14ac:dyDescent="0.2">
      <c r="A114" s="2">
        <v>108</v>
      </c>
      <c r="B114" s="25">
        <v>91</v>
      </c>
      <c r="C114" s="170">
        <v>9</v>
      </c>
      <c r="D114" s="17" t="s">
        <v>361</v>
      </c>
      <c r="E114" s="17" t="s">
        <v>362</v>
      </c>
      <c r="F114" s="17" t="s">
        <v>363</v>
      </c>
      <c r="G114" s="18" t="s">
        <v>364</v>
      </c>
      <c r="H114" s="19">
        <v>171</v>
      </c>
      <c r="I114" s="19">
        <v>171</v>
      </c>
      <c r="J114" s="15">
        <f t="shared" si="4"/>
        <v>0</v>
      </c>
      <c r="K114" s="20">
        <v>102</v>
      </c>
      <c r="L114" s="20">
        <v>50.64</v>
      </c>
      <c r="M114" s="21" t="s">
        <v>365</v>
      </c>
      <c r="N114" s="91">
        <f t="shared" si="5"/>
        <v>85500</v>
      </c>
      <c r="O114" s="91">
        <f t="shared" si="6"/>
        <v>30600</v>
      </c>
      <c r="P114" s="91">
        <v>50000</v>
      </c>
      <c r="Q114" s="91">
        <f t="shared" si="7"/>
        <v>116100</v>
      </c>
    </row>
    <row r="115" spans="1:17" ht="30" x14ac:dyDescent="0.2">
      <c r="A115" s="2">
        <v>109</v>
      </c>
      <c r="B115" s="25">
        <v>92</v>
      </c>
      <c r="C115" s="170">
        <v>9</v>
      </c>
      <c r="D115" s="17" t="s">
        <v>366</v>
      </c>
      <c r="E115" s="17" t="s">
        <v>367</v>
      </c>
      <c r="F115" s="17" t="s">
        <v>303</v>
      </c>
      <c r="G115" s="18">
        <v>18</v>
      </c>
      <c r="H115" s="19">
        <v>674</v>
      </c>
      <c r="I115" s="20">
        <v>503</v>
      </c>
      <c r="J115" s="15">
        <f t="shared" si="4"/>
        <v>-171</v>
      </c>
      <c r="K115" s="20">
        <v>284</v>
      </c>
      <c r="L115" s="20">
        <v>161.47999999999999</v>
      </c>
      <c r="M115" s="21" t="s">
        <v>368</v>
      </c>
      <c r="N115" s="91">
        <f t="shared" si="5"/>
        <v>251500</v>
      </c>
      <c r="O115" s="91">
        <f t="shared" si="6"/>
        <v>85200</v>
      </c>
      <c r="P115" s="91">
        <v>50000</v>
      </c>
      <c r="Q115" s="91">
        <f t="shared" si="7"/>
        <v>336700</v>
      </c>
    </row>
    <row r="116" spans="1:17" x14ac:dyDescent="0.2">
      <c r="A116" s="2">
        <v>110</v>
      </c>
      <c r="B116" s="25">
        <v>93</v>
      </c>
      <c r="C116" s="170">
        <v>9</v>
      </c>
      <c r="D116" s="17" t="s">
        <v>369</v>
      </c>
      <c r="E116" s="17" t="s">
        <v>370</v>
      </c>
      <c r="F116" s="17" t="s">
        <v>16</v>
      </c>
      <c r="G116" s="18">
        <v>22</v>
      </c>
      <c r="H116" s="19">
        <v>300</v>
      </c>
      <c r="I116" s="19">
        <v>300</v>
      </c>
      <c r="J116" s="15">
        <f t="shared" si="4"/>
        <v>0</v>
      </c>
      <c r="K116" s="20">
        <v>64</v>
      </c>
      <c r="L116" s="20">
        <v>35.06</v>
      </c>
      <c r="M116" s="21" t="s">
        <v>371</v>
      </c>
      <c r="N116" s="91">
        <f t="shared" si="5"/>
        <v>180000</v>
      </c>
      <c r="O116" s="91">
        <f t="shared" si="6"/>
        <v>19200</v>
      </c>
      <c r="P116" s="91">
        <v>60000</v>
      </c>
      <c r="Q116" s="91">
        <f t="shared" si="7"/>
        <v>199200</v>
      </c>
    </row>
    <row r="117" spans="1:17" x14ac:dyDescent="0.2">
      <c r="A117" s="2">
        <v>111</v>
      </c>
      <c r="B117" s="25">
        <v>94</v>
      </c>
      <c r="C117" s="170">
        <v>9</v>
      </c>
      <c r="D117" s="17" t="s">
        <v>372</v>
      </c>
      <c r="E117" s="17" t="s">
        <v>373</v>
      </c>
      <c r="F117" s="17" t="s">
        <v>16</v>
      </c>
      <c r="G117" s="18" t="s">
        <v>374</v>
      </c>
      <c r="H117" s="19">
        <v>340</v>
      </c>
      <c r="I117" s="20">
        <v>340</v>
      </c>
      <c r="J117" s="15">
        <f t="shared" si="4"/>
        <v>0</v>
      </c>
      <c r="K117" s="20">
        <v>244</v>
      </c>
      <c r="L117" s="20">
        <v>139.44999999999999</v>
      </c>
      <c r="M117" s="21" t="s">
        <v>375</v>
      </c>
      <c r="N117" s="91">
        <f t="shared" si="5"/>
        <v>204000</v>
      </c>
      <c r="O117" s="91">
        <f t="shared" si="6"/>
        <v>73200</v>
      </c>
      <c r="P117" s="91">
        <v>60000</v>
      </c>
      <c r="Q117" s="91">
        <f t="shared" si="7"/>
        <v>277200</v>
      </c>
    </row>
    <row r="118" spans="1:17" x14ac:dyDescent="0.2">
      <c r="A118" s="2">
        <v>112</v>
      </c>
      <c r="B118" s="25">
        <v>95</v>
      </c>
      <c r="C118" s="170">
        <v>9</v>
      </c>
      <c r="D118" s="17" t="s">
        <v>376</v>
      </c>
      <c r="E118" s="17" t="s">
        <v>377</v>
      </c>
      <c r="F118" s="17" t="s">
        <v>16</v>
      </c>
      <c r="G118" s="18">
        <v>24</v>
      </c>
      <c r="H118" s="19">
        <v>600</v>
      </c>
      <c r="I118" s="20">
        <v>774</v>
      </c>
      <c r="J118" s="15">
        <f t="shared" si="4"/>
        <v>174</v>
      </c>
      <c r="K118" s="20">
        <v>223</v>
      </c>
      <c r="L118" s="20">
        <v>129.63999999999999</v>
      </c>
      <c r="M118" s="21" t="s">
        <v>378</v>
      </c>
      <c r="N118" s="91">
        <f t="shared" si="5"/>
        <v>464400</v>
      </c>
      <c r="O118" s="91">
        <f t="shared" si="6"/>
        <v>66900</v>
      </c>
      <c r="P118" s="91">
        <v>60000</v>
      </c>
      <c r="Q118" s="91">
        <f t="shared" si="7"/>
        <v>531300</v>
      </c>
    </row>
    <row r="119" spans="1:17" x14ac:dyDescent="0.2">
      <c r="A119" s="2">
        <v>113</v>
      </c>
      <c r="B119" s="25">
        <v>96</v>
      </c>
      <c r="C119" s="170">
        <v>9</v>
      </c>
      <c r="D119" s="17" t="s">
        <v>379</v>
      </c>
      <c r="E119" s="17" t="s">
        <v>380</v>
      </c>
      <c r="F119" s="17" t="s">
        <v>16</v>
      </c>
      <c r="G119" s="18">
        <v>26</v>
      </c>
      <c r="H119" s="19">
        <v>908</v>
      </c>
      <c r="I119" s="20">
        <v>893</v>
      </c>
      <c r="J119" s="15">
        <f t="shared" si="4"/>
        <v>-15</v>
      </c>
      <c r="K119" s="20">
        <v>485</v>
      </c>
      <c r="L119" s="20">
        <v>176.38</v>
      </c>
      <c r="M119" s="21" t="s">
        <v>381</v>
      </c>
      <c r="N119" s="91">
        <f t="shared" si="5"/>
        <v>535800</v>
      </c>
      <c r="O119" s="91">
        <f t="shared" si="6"/>
        <v>145500</v>
      </c>
      <c r="P119" s="91">
        <v>60000</v>
      </c>
      <c r="Q119" s="91">
        <f t="shared" si="7"/>
        <v>681300</v>
      </c>
    </row>
    <row r="120" spans="1:17" x14ac:dyDescent="0.2">
      <c r="A120" s="2">
        <v>114</v>
      </c>
      <c r="B120" s="25">
        <v>97</v>
      </c>
      <c r="C120" s="170">
        <v>9</v>
      </c>
      <c r="D120" s="17" t="s">
        <v>382</v>
      </c>
      <c r="E120" s="17" t="s">
        <v>383</v>
      </c>
      <c r="F120" s="17" t="s">
        <v>16</v>
      </c>
      <c r="G120" s="18">
        <v>14</v>
      </c>
      <c r="H120" s="19">
        <v>600</v>
      </c>
      <c r="I120" s="19">
        <v>600</v>
      </c>
      <c r="J120" s="15">
        <f t="shared" si="4"/>
        <v>0</v>
      </c>
      <c r="K120" s="20">
        <v>296</v>
      </c>
      <c r="L120" s="20">
        <v>131.83000000000001</v>
      </c>
      <c r="M120" s="21" t="s">
        <v>384</v>
      </c>
      <c r="N120" s="91">
        <f t="shared" si="5"/>
        <v>300000</v>
      </c>
      <c r="O120" s="91">
        <f t="shared" si="6"/>
        <v>88800</v>
      </c>
      <c r="P120" s="91">
        <v>50000</v>
      </c>
      <c r="Q120" s="91">
        <f t="shared" si="7"/>
        <v>388800</v>
      </c>
    </row>
    <row r="121" spans="1:17" x14ac:dyDescent="0.2">
      <c r="A121" s="2">
        <v>115</v>
      </c>
      <c r="B121" s="25">
        <v>98</v>
      </c>
      <c r="C121" s="170">
        <v>9</v>
      </c>
      <c r="D121" s="17" t="s">
        <v>385</v>
      </c>
      <c r="E121" s="17" t="s">
        <v>386</v>
      </c>
      <c r="F121" s="17" t="s">
        <v>16</v>
      </c>
      <c r="G121" s="18">
        <v>28</v>
      </c>
      <c r="H121" s="19">
        <v>847</v>
      </c>
      <c r="I121" s="20">
        <v>813</v>
      </c>
      <c r="J121" s="15">
        <f t="shared" si="4"/>
        <v>-34</v>
      </c>
      <c r="K121" s="20">
        <v>370</v>
      </c>
      <c r="L121" s="20">
        <v>275.27999999999997</v>
      </c>
      <c r="M121" s="21" t="s">
        <v>387</v>
      </c>
      <c r="N121" s="91">
        <f t="shared" si="5"/>
        <v>487800</v>
      </c>
      <c r="O121" s="91">
        <f t="shared" si="6"/>
        <v>111000</v>
      </c>
      <c r="P121" s="91">
        <v>60000</v>
      </c>
      <c r="Q121" s="91">
        <f t="shared" si="7"/>
        <v>598800</v>
      </c>
    </row>
    <row r="122" spans="1:17" x14ac:dyDescent="0.2">
      <c r="A122" s="2">
        <v>116</v>
      </c>
      <c r="B122" s="25">
        <v>99</v>
      </c>
      <c r="C122" s="170">
        <v>9</v>
      </c>
      <c r="D122" s="17" t="s">
        <v>388</v>
      </c>
      <c r="E122" s="17" t="s">
        <v>389</v>
      </c>
      <c r="F122" s="17" t="s">
        <v>16</v>
      </c>
      <c r="G122" s="18">
        <v>47</v>
      </c>
      <c r="H122" s="19">
        <v>456</v>
      </c>
      <c r="I122" s="19">
        <v>456</v>
      </c>
      <c r="J122" s="15">
        <f t="shared" si="4"/>
        <v>0</v>
      </c>
      <c r="K122" s="20">
        <v>233</v>
      </c>
      <c r="L122" s="20">
        <v>59.55</v>
      </c>
      <c r="M122" s="21" t="s">
        <v>158</v>
      </c>
      <c r="N122" s="91">
        <f t="shared" si="5"/>
        <v>273600</v>
      </c>
      <c r="O122" s="91">
        <f t="shared" si="6"/>
        <v>69900</v>
      </c>
      <c r="P122" s="91">
        <v>60000</v>
      </c>
      <c r="Q122" s="91">
        <f t="shared" si="7"/>
        <v>343500</v>
      </c>
    </row>
    <row r="123" spans="1:17" x14ac:dyDescent="0.2">
      <c r="A123" s="2">
        <v>117</v>
      </c>
      <c r="B123" s="25">
        <v>100</v>
      </c>
      <c r="C123" s="170">
        <v>9</v>
      </c>
      <c r="D123" s="17" t="s">
        <v>390</v>
      </c>
      <c r="E123" s="17" t="s">
        <v>391</v>
      </c>
      <c r="F123" s="17" t="s">
        <v>16</v>
      </c>
      <c r="G123" s="18" t="s">
        <v>392</v>
      </c>
      <c r="H123" s="19">
        <v>470</v>
      </c>
      <c r="I123" s="19">
        <v>470</v>
      </c>
      <c r="J123" s="15">
        <f t="shared" si="4"/>
        <v>0</v>
      </c>
      <c r="K123" s="20">
        <v>208</v>
      </c>
      <c r="L123" s="20">
        <v>76.64</v>
      </c>
      <c r="M123" s="21" t="s">
        <v>393</v>
      </c>
      <c r="N123" s="91">
        <f t="shared" si="5"/>
        <v>282000</v>
      </c>
      <c r="O123" s="91">
        <f t="shared" si="6"/>
        <v>62400</v>
      </c>
      <c r="P123" s="91">
        <v>60000</v>
      </c>
      <c r="Q123" s="91">
        <f t="shared" si="7"/>
        <v>344400</v>
      </c>
    </row>
    <row r="124" spans="1:17" x14ac:dyDescent="0.2">
      <c r="A124" s="2">
        <v>118</v>
      </c>
      <c r="B124" s="25">
        <v>101</v>
      </c>
      <c r="C124" s="170">
        <v>9</v>
      </c>
      <c r="D124" s="17" t="s">
        <v>394</v>
      </c>
      <c r="E124" s="17" t="s">
        <v>395</v>
      </c>
      <c r="F124" s="17" t="s">
        <v>16</v>
      </c>
      <c r="G124" s="18" t="s">
        <v>396</v>
      </c>
      <c r="H124" s="19">
        <v>600</v>
      </c>
      <c r="I124" s="19">
        <v>600</v>
      </c>
      <c r="J124" s="15">
        <f t="shared" si="4"/>
        <v>0</v>
      </c>
      <c r="K124" s="20">
        <v>217</v>
      </c>
      <c r="L124" s="20">
        <v>32.6</v>
      </c>
      <c r="M124" s="21" t="s">
        <v>397</v>
      </c>
      <c r="N124" s="91">
        <f t="shared" si="5"/>
        <v>300000</v>
      </c>
      <c r="O124" s="91">
        <f t="shared" si="6"/>
        <v>65100</v>
      </c>
      <c r="P124" s="91">
        <v>50000</v>
      </c>
      <c r="Q124" s="91">
        <f t="shared" si="7"/>
        <v>365100</v>
      </c>
    </row>
    <row r="125" spans="1:17" x14ac:dyDescent="0.2">
      <c r="A125" s="2">
        <v>119</v>
      </c>
      <c r="B125" s="25">
        <v>102</v>
      </c>
      <c r="C125" s="170">
        <v>9</v>
      </c>
      <c r="D125" s="17" t="s">
        <v>398</v>
      </c>
      <c r="E125" s="17" t="s">
        <v>399</v>
      </c>
      <c r="F125" s="17" t="s">
        <v>16</v>
      </c>
      <c r="G125" s="18">
        <v>49</v>
      </c>
      <c r="H125" s="19">
        <v>600</v>
      </c>
      <c r="I125" s="20">
        <v>580</v>
      </c>
      <c r="J125" s="15">
        <f t="shared" si="4"/>
        <v>-20</v>
      </c>
      <c r="K125" s="20">
        <v>463</v>
      </c>
      <c r="L125" s="20">
        <v>167.48</v>
      </c>
      <c r="M125" s="21" t="s">
        <v>196</v>
      </c>
      <c r="N125" s="91">
        <f t="shared" si="5"/>
        <v>290000</v>
      </c>
      <c r="O125" s="91">
        <f t="shared" si="6"/>
        <v>138900</v>
      </c>
      <c r="P125" s="91">
        <v>50000</v>
      </c>
      <c r="Q125" s="91">
        <f t="shared" si="7"/>
        <v>428900</v>
      </c>
    </row>
    <row r="126" spans="1:17" x14ac:dyDescent="0.2">
      <c r="A126" s="2">
        <v>120</v>
      </c>
      <c r="B126" s="25">
        <v>103</v>
      </c>
      <c r="C126" s="170">
        <v>9</v>
      </c>
      <c r="D126" s="17" t="s">
        <v>400</v>
      </c>
      <c r="E126" s="17" t="s">
        <v>401</v>
      </c>
      <c r="F126" s="17" t="s">
        <v>16</v>
      </c>
      <c r="G126" s="18">
        <v>5</v>
      </c>
      <c r="H126" s="19">
        <v>600</v>
      </c>
      <c r="I126" s="19">
        <v>600</v>
      </c>
      <c r="J126" s="15">
        <f t="shared" si="4"/>
        <v>0</v>
      </c>
      <c r="K126" s="20">
        <v>540</v>
      </c>
      <c r="L126" s="20">
        <v>216.77</v>
      </c>
      <c r="M126" s="21" t="s">
        <v>402</v>
      </c>
      <c r="N126" s="91">
        <f t="shared" si="5"/>
        <v>300000</v>
      </c>
      <c r="O126" s="91">
        <f t="shared" si="6"/>
        <v>162000</v>
      </c>
      <c r="P126" s="91">
        <v>50000</v>
      </c>
      <c r="Q126" s="91">
        <f t="shared" si="7"/>
        <v>462000</v>
      </c>
    </row>
    <row r="127" spans="1:17" x14ac:dyDescent="0.2">
      <c r="A127" s="2">
        <v>121</v>
      </c>
      <c r="B127" s="25">
        <v>104</v>
      </c>
      <c r="C127" s="170">
        <v>9</v>
      </c>
      <c r="D127" s="17" t="s">
        <v>403</v>
      </c>
      <c r="E127" s="17" t="s">
        <v>404</v>
      </c>
      <c r="F127" s="17" t="s">
        <v>16</v>
      </c>
      <c r="G127" s="18">
        <v>6</v>
      </c>
      <c r="H127" s="19">
        <v>648</v>
      </c>
      <c r="I127" s="20">
        <v>605</v>
      </c>
      <c r="J127" s="15">
        <f t="shared" si="4"/>
        <v>-43</v>
      </c>
      <c r="K127" s="20">
        <v>402</v>
      </c>
      <c r="L127" s="20">
        <v>197.97</v>
      </c>
      <c r="M127" s="21" t="s">
        <v>405</v>
      </c>
      <c r="N127" s="91">
        <f t="shared" si="5"/>
        <v>302500</v>
      </c>
      <c r="O127" s="91">
        <f t="shared" si="6"/>
        <v>120600</v>
      </c>
      <c r="P127" s="91">
        <v>50000</v>
      </c>
      <c r="Q127" s="91">
        <f t="shared" si="7"/>
        <v>423100</v>
      </c>
    </row>
    <row r="128" spans="1:17" x14ac:dyDescent="0.2">
      <c r="A128" s="2">
        <v>122</v>
      </c>
      <c r="B128" s="25">
        <v>105</v>
      </c>
      <c r="C128" s="170">
        <v>9</v>
      </c>
      <c r="D128" s="17" t="s">
        <v>406</v>
      </c>
      <c r="E128" s="17" t="s">
        <v>407</v>
      </c>
      <c r="F128" s="17" t="s">
        <v>16</v>
      </c>
      <c r="G128" s="18">
        <v>51</v>
      </c>
      <c r="H128" s="19">
        <v>791</v>
      </c>
      <c r="I128" s="20">
        <v>1270</v>
      </c>
      <c r="J128" s="15">
        <f t="shared" si="4"/>
        <v>479</v>
      </c>
      <c r="K128" s="20">
        <v>475</v>
      </c>
      <c r="L128" s="20">
        <v>198.25</v>
      </c>
      <c r="M128" s="21" t="s">
        <v>408</v>
      </c>
      <c r="N128" s="91">
        <f t="shared" si="5"/>
        <v>635000</v>
      </c>
      <c r="O128" s="91">
        <f t="shared" si="6"/>
        <v>142500</v>
      </c>
      <c r="P128" s="91">
        <v>50000</v>
      </c>
      <c r="Q128" s="91">
        <f t="shared" si="7"/>
        <v>777500</v>
      </c>
    </row>
    <row r="129" spans="1:17" x14ac:dyDescent="0.2">
      <c r="A129" s="2">
        <v>123</v>
      </c>
      <c r="B129" s="25">
        <v>106</v>
      </c>
      <c r="C129" s="170">
        <v>9</v>
      </c>
      <c r="D129" s="17" t="s">
        <v>409</v>
      </c>
      <c r="E129" s="17" t="s">
        <v>410</v>
      </c>
      <c r="F129" s="17" t="s">
        <v>16</v>
      </c>
      <c r="G129" s="18">
        <v>3</v>
      </c>
      <c r="H129" s="19">
        <v>600</v>
      </c>
      <c r="I129" s="20">
        <v>877</v>
      </c>
      <c r="J129" s="15">
        <f t="shared" si="4"/>
        <v>277</v>
      </c>
      <c r="K129" s="20">
        <v>409</v>
      </c>
      <c r="L129" s="20">
        <v>23.79</v>
      </c>
      <c r="M129" s="21" t="s">
        <v>126</v>
      </c>
      <c r="N129" s="91">
        <f t="shared" si="5"/>
        <v>438500</v>
      </c>
      <c r="O129" s="91">
        <f t="shared" si="6"/>
        <v>122700</v>
      </c>
      <c r="P129" s="91">
        <v>50000</v>
      </c>
      <c r="Q129" s="91">
        <f t="shared" si="7"/>
        <v>561200</v>
      </c>
    </row>
    <row r="130" spans="1:17" x14ac:dyDescent="0.2">
      <c r="A130" s="2">
        <v>124</v>
      </c>
      <c r="B130" s="25">
        <v>107</v>
      </c>
      <c r="C130" s="170">
        <v>9</v>
      </c>
      <c r="D130" s="17" t="s">
        <v>411</v>
      </c>
      <c r="E130" s="17" t="s">
        <v>412</v>
      </c>
      <c r="F130" s="17" t="s">
        <v>16</v>
      </c>
      <c r="G130" s="18">
        <v>8</v>
      </c>
      <c r="H130" s="19">
        <v>672</v>
      </c>
      <c r="I130" s="19">
        <v>672</v>
      </c>
      <c r="J130" s="15">
        <f t="shared" si="4"/>
        <v>0</v>
      </c>
      <c r="K130" s="20">
        <v>406</v>
      </c>
      <c r="L130" s="20">
        <v>189.59</v>
      </c>
      <c r="M130" s="21" t="s">
        <v>413</v>
      </c>
      <c r="N130" s="91">
        <f t="shared" si="5"/>
        <v>336000</v>
      </c>
      <c r="O130" s="91">
        <f t="shared" si="6"/>
        <v>121800</v>
      </c>
      <c r="P130" s="91">
        <v>50000</v>
      </c>
      <c r="Q130" s="91">
        <f t="shared" si="7"/>
        <v>457800</v>
      </c>
    </row>
    <row r="131" spans="1:17" x14ac:dyDescent="0.2">
      <c r="A131" s="2">
        <v>125</v>
      </c>
      <c r="B131" s="25">
        <v>108</v>
      </c>
      <c r="C131" s="170"/>
      <c r="D131" s="17" t="s">
        <v>414</v>
      </c>
      <c r="E131" s="17" t="s">
        <v>415</v>
      </c>
      <c r="F131" s="17" t="s">
        <v>16</v>
      </c>
      <c r="G131" s="18" t="s">
        <v>416</v>
      </c>
      <c r="H131" s="19">
        <v>1200</v>
      </c>
      <c r="I131" s="20">
        <v>1487</v>
      </c>
      <c r="J131" s="15">
        <f t="shared" si="4"/>
        <v>287</v>
      </c>
      <c r="K131" s="20">
        <v>547</v>
      </c>
      <c r="L131" s="20">
        <v>164.96</v>
      </c>
      <c r="M131" s="21" t="s">
        <v>417</v>
      </c>
      <c r="N131" s="91">
        <f t="shared" si="5"/>
        <v>743500</v>
      </c>
      <c r="O131" s="91">
        <f t="shared" si="6"/>
        <v>164100</v>
      </c>
      <c r="P131" s="91">
        <v>50000</v>
      </c>
      <c r="Q131" s="91">
        <f t="shared" si="7"/>
        <v>907600</v>
      </c>
    </row>
    <row r="132" spans="1:17" x14ac:dyDescent="0.2">
      <c r="A132" s="2">
        <v>126</v>
      </c>
      <c r="B132" s="26">
        <v>109</v>
      </c>
      <c r="C132" s="170">
        <v>12</v>
      </c>
      <c r="D132" s="17" t="s">
        <v>418</v>
      </c>
      <c r="E132" s="17" t="s">
        <v>419</v>
      </c>
      <c r="F132" s="17" t="s">
        <v>16</v>
      </c>
      <c r="G132" s="18">
        <v>76</v>
      </c>
      <c r="H132" s="19">
        <v>600</v>
      </c>
      <c r="I132" s="19">
        <v>600</v>
      </c>
      <c r="J132" s="15">
        <f t="shared" si="4"/>
        <v>0</v>
      </c>
      <c r="K132" s="20">
        <v>102</v>
      </c>
      <c r="L132" s="20">
        <v>38.479999999999997</v>
      </c>
      <c r="M132" s="21" t="s">
        <v>420</v>
      </c>
      <c r="N132" s="91">
        <f t="shared" si="5"/>
        <v>300000</v>
      </c>
      <c r="O132" s="91">
        <f t="shared" si="6"/>
        <v>30600</v>
      </c>
      <c r="P132" s="91">
        <v>50000</v>
      </c>
      <c r="Q132" s="91">
        <f t="shared" si="7"/>
        <v>330600</v>
      </c>
    </row>
    <row r="133" spans="1:17" x14ac:dyDescent="0.2">
      <c r="A133" s="2">
        <v>127</v>
      </c>
      <c r="B133" s="26">
        <v>110</v>
      </c>
      <c r="C133" s="170">
        <v>12</v>
      </c>
      <c r="D133" s="17" t="s">
        <v>421</v>
      </c>
      <c r="E133" s="17" t="s">
        <v>422</v>
      </c>
      <c r="F133" s="17" t="s">
        <v>16</v>
      </c>
      <c r="G133" s="18">
        <v>91</v>
      </c>
      <c r="H133" s="19">
        <v>588</v>
      </c>
      <c r="I133" s="19">
        <v>588</v>
      </c>
      <c r="J133" s="15">
        <f t="shared" si="4"/>
        <v>0</v>
      </c>
      <c r="K133" s="20">
        <v>301</v>
      </c>
      <c r="L133" s="20">
        <v>175.9</v>
      </c>
      <c r="M133" s="21" t="s">
        <v>423</v>
      </c>
      <c r="N133" s="91">
        <f t="shared" si="5"/>
        <v>294000</v>
      </c>
      <c r="O133" s="91">
        <f t="shared" si="6"/>
        <v>90300</v>
      </c>
      <c r="P133" s="91">
        <v>50000</v>
      </c>
      <c r="Q133" s="91">
        <f t="shared" si="7"/>
        <v>384300</v>
      </c>
    </row>
    <row r="134" spans="1:17" x14ac:dyDescent="0.2">
      <c r="A134" s="2">
        <v>128</v>
      </c>
      <c r="B134" s="26">
        <v>111</v>
      </c>
      <c r="C134" s="170">
        <v>12</v>
      </c>
      <c r="D134" s="17" t="s">
        <v>424</v>
      </c>
      <c r="E134" s="17" t="s">
        <v>425</v>
      </c>
      <c r="F134" s="17" t="s">
        <v>20</v>
      </c>
      <c r="G134" s="18">
        <v>90</v>
      </c>
      <c r="H134" s="19">
        <v>600</v>
      </c>
      <c r="I134" s="20">
        <v>651</v>
      </c>
      <c r="J134" s="15">
        <f t="shared" ref="J134:J157" si="8">I134-H134</f>
        <v>51</v>
      </c>
      <c r="K134" s="20">
        <v>290</v>
      </c>
      <c r="L134" s="20">
        <v>137.69999999999999</v>
      </c>
      <c r="M134" s="21" t="s">
        <v>426</v>
      </c>
      <c r="N134" s="91">
        <f t="shared" ref="N134:N157" si="9">I134*P134/100</f>
        <v>325500</v>
      </c>
      <c r="O134" s="91">
        <f t="shared" ref="O134:O157" si="10">K134*300</f>
        <v>87000</v>
      </c>
      <c r="P134" s="91">
        <v>50000</v>
      </c>
      <c r="Q134" s="91">
        <f t="shared" ref="Q134:Q158" si="11">N134+O134</f>
        <v>412500</v>
      </c>
    </row>
    <row r="135" spans="1:17" x14ac:dyDescent="0.2">
      <c r="A135" s="2">
        <v>129</v>
      </c>
      <c r="B135" s="26">
        <v>112</v>
      </c>
      <c r="C135" s="170">
        <v>12</v>
      </c>
      <c r="D135" s="17" t="s">
        <v>427</v>
      </c>
      <c r="E135" s="17" t="s">
        <v>428</v>
      </c>
      <c r="F135" s="17" t="s">
        <v>16</v>
      </c>
      <c r="G135" s="18" t="s">
        <v>429</v>
      </c>
      <c r="H135" s="19">
        <v>600</v>
      </c>
      <c r="I135" s="19">
        <v>600</v>
      </c>
      <c r="J135" s="15">
        <f t="shared" si="8"/>
        <v>0</v>
      </c>
      <c r="K135" s="20">
        <v>129</v>
      </c>
      <c r="L135" s="20">
        <v>62.85</v>
      </c>
      <c r="M135" s="21" t="s">
        <v>430</v>
      </c>
      <c r="N135" s="91">
        <f t="shared" si="9"/>
        <v>300000</v>
      </c>
      <c r="O135" s="91">
        <f t="shared" si="10"/>
        <v>38700</v>
      </c>
      <c r="P135" s="91">
        <v>50000</v>
      </c>
      <c r="Q135" s="91">
        <f t="shared" si="11"/>
        <v>338700</v>
      </c>
    </row>
    <row r="136" spans="1:17" x14ac:dyDescent="0.2">
      <c r="A136" s="2">
        <v>130</v>
      </c>
      <c r="B136" s="26">
        <v>113</v>
      </c>
      <c r="C136" s="170">
        <v>12</v>
      </c>
      <c r="D136" s="17" t="s">
        <v>431</v>
      </c>
      <c r="E136" s="17" t="s">
        <v>432</v>
      </c>
      <c r="F136" s="17" t="s">
        <v>16</v>
      </c>
      <c r="G136" s="18">
        <v>86</v>
      </c>
      <c r="H136" s="19">
        <v>383</v>
      </c>
      <c r="I136" s="19">
        <v>383</v>
      </c>
      <c r="J136" s="15">
        <f t="shared" si="8"/>
        <v>0</v>
      </c>
      <c r="K136" s="20">
        <v>167</v>
      </c>
      <c r="L136" s="20">
        <v>62.86</v>
      </c>
      <c r="M136" s="21" t="s">
        <v>433</v>
      </c>
      <c r="N136" s="91">
        <f t="shared" si="9"/>
        <v>191500</v>
      </c>
      <c r="O136" s="91">
        <f t="shared" si="10"/>
        <v>50100</v>
      </c>
      <c r="P136" s="91">
        <v>50000</v>
      </c>
      <c r="Q136" s="91">
        <f t="shared" si="11"/>
        <v>241600</v>
      </c>
    </row>
    <row r="137" spans="1:17" x14ac:dyDescent="0.2">
      <c r="A137" s="2">
        <v>131</v>
      </c>
      <c r="B137" s="26">
        <v>114</v>
      </c>
      <c r="C137" s="170">
        <v>12</v>
      </c>
      <c r="D137" s="17" t="s">
        <v>434</v>
      </c>
      <c r="E137" s="17" t="s">
        <v>435</v>
      </c>
      <c r="F137" s="17" t="s">
        <v>16</v>
      </c>
      <c r="G137" s="18" t="s">
        <v>436</v>
      </c>
      <c r="H137" s="19">
        <v>600</v>
      </c>
      <c r="I137" s="20">
        <v>595</v>
      </c>
      <c r="J137" s="15">
        <f t="shared" si="8"/>
        <v>-5</v>
      </c>
      <c r="K137" s="20">
        <v>291</v>
      </c>
      <c r="L137" s="20">
        <v>54</v>
      </c>
      <c r="M137" s="21" t="s">
        <v>437</v>
      </c>
      <c r="N137" s="91">
        <f t="shared" si="9"/>
        <v>297500</v>
      </c>
      <c r="O137" s="91">
        <f t="shared" si="10"/>
        <v>87300</v>
      </c>
      <c r="P137" s="91">
        <v>50000</v>
      </c>
      <c r="Q137" s="91">
        <f t="shared" si="11"/>
        <v>384800</v>
      </c>
    </row>
    <row r="138" spans="1:17" x14ac:dyDescent="0.2">
      <c r="A138" s="2">
        <v>132</v>
      </c>
      <c r="B138" s="26">
        <v>115</v>
      </c>
      <c r="C138" s="170">
        <v>12</v>
      </c>
      <c r="D138" s="17" t="s">
        <v>438</v>
      </c>
      <c r="E138" s="17" t="s">
        <v>439</v>
      </c>
      <c r="F138" s="17" t="s">
        <v>16</v>
      </c>
      <c r="G138" s="18">
        <v>88</v>
      </c>
      <c r="H138" s="19">
        <v>600</v>
      </c>
      <c r="I138" s="20">
        <v>617</v>
      </c>
      <c r="J138" s="15">
        <f t="shared" si="8"/>
        <v>17</v>
      </c>
      <c r="K138" s="20">
        <v>366</v>
      </c>
      <c r="L138" s="20">
        <v>209.7</v>
      </c>
      <c r="M138" s="21" t="s">
        <v>440</v>
      </c>
      <c r="N138" s="91">
        <f t="shared" si="9"/>
        <v>308500</v>
      </c>
      <c r="O138" s="91">
        <f t="shared" si="10"/>
        <v>109800</v>
      </c>
      <c r="P138" s="91">
        <v>50000</v>
      </c>
      <c r="Q138" s="91">
        <f t="shared" si="11"/>
        <v>418300</v>
      </c>
    </row>
    <row r="139" spans="1:17" ht="30" x14ac:dyDescent="0.2">
      <c r="A139" s="2">
        <v>133</v>
      </c>
      <c r="B139" s="26">
        <v>116</v>
      </c>
      <c r="C139" s="170">
        <v>13</v>
      </c>
      <c r="D139" s="17" t="s">
        <v>441</v>
      </c>
      <c r="E139" s="17" t="s">
        <v>442</v>
      </c>
      <c r="F139" s="17" t="s">
        <v>363</v>
      </c>
      <c r="G139" s="18" t="s">
        <v>443</v>
      </c>
      <c r="H139" s="19">
        <v>600</v>
      </c>
      <c r="I139" s="20">
        <v>608</v>
      </c>
      <c r="J139" s="15">
        <f t="shared" si="8"/>
        <v>8</v>
      </c>
      <c r="K139" s="20">
        <v>280</v>
      </c>
      <c r="L139" s="20">
        <v>108.02</v>
      </c>
      <c r="M139" s="21" t="s">
        <v>444</v>
      </c>
      <c r="N139" s="91">
        <f t="shared" si="9"/>
        <v>304000</v>
      </c>
      <c r="O139" s="91">
        <f t="shared" si="10"/>
        <v>84000</v>
      </c>
      <c r="P139" s="91">
        <v>50000</v>
      </c>
      <c r="Q139" s="91">
        <f t="shared" si="11"/>
        <v>388000</v>
      </c>
    </row>
    <row r="140" spans="1:17" x14ac:dyDescent="0.2">
      <c r="A140" s="2">
        <v>134</v>
      </c>
      <c r="B140" s="26">
        <v>117</v>
      </c>
      <c r="C140" s="170">
        <v>13</v>
      </c>
      <c r="D140" s="17" t="s">
        <v>445</v>
      </c>
      <c r="E140" s="17" t="s">
        <v>446</v>
      </c>
      <c r="F140" s="17" t="s">
        <v>16</v>
      </c>
      <c r="G140" s="18">
        <v>92</v>
      </c>
      <c r="H140" s="19">
        <v>830</v>
      </c>
      <c r="I140" s="19">
        <v>830</v>
      </c>
      <c r="J140" s="15">
        <f t="shared" si="8"/>
        <v>0</v>
      </c>
      <c r="K140" s="20">
        <v>359</v>
      </c>
      <c r="L140" s="20">
        <v>298.2</v>
      </c>
      <c r="M140" s="21" t="s">
        <v>123</v>
      </c>
      <c r="N140" s="91">
        <f t="shared" si="9"/>
        <v>415000</v>
      </c>
      <c r="O140" s="91">
        <f t="shared" si="10"/>
        <v>107700</v>
      </c>
      <c r="P140" s="91">
        <v>50000</v>
      </c>
      <c r="Q140" s="91">
        <f t="shared" si="11"/>
        <v>522700</v>
      </c>
    </row>
    <row r="141" spans="1:17" x14ac:dyDescent="0.2">
      <c r="A141" s="2">
        <v>135</v>
      </c>
      <c r="B141" s="26">
        <v>118</v>
      </c>
      <c r="C141" s="170">
        <v>13</v>
      </c>
      <c r="D141" s="17" t="s">
        <v>447</v>
      </c>
      <c r="E141" s="17" t="s">
        <v>448</v>
      </c>
      <c r="F141" s="17" t="s">
        <v>20</v>
      </c>
      <c r="G141" s="18">
        <v>98</v>
      </c>
      <c r="H141" s="19">
        <v>600</v>
      </c>
      <c r="I141" s="19">
        <v>600</v>
      </c>
      <c r="J141" s="15">
        <f t="shared" si="8"/>
        <v>0</v>
      </c>
      <c r="K141" s="20">
        <v>217</v>
      </c>
      <c r="L141" s="20">
        <v>148.38</v>
      </c>
      <c r="M141" s="21" t="s">
        <v>449</v>
      </c>
      <c r="N141" s="91">
        <f t="shared" si="9"/>
        <v>300000</v>
      </c>
      <c r="O141" s="91">
        <f t="shared" si="10"/>
        <v>65100</v>
      </c>
      <c r="P141" s="91">
        <v>50000</v>
      </c>
      <c r="Q141" s="91">
        <f t="shared" si="11"/>
        <v>365100</v>
      </c>
    </row>
    <row r="142" spans="1:17" x14ac:dyDescent="0.2">
      <c r="A142" s="2">
        <v>136</v>
      </c>
      <c r="B142" s="26">
        <v>119</v>
      </c>
      <c r="C142" s="170">
        <v>13</v>
      </c>
      <c r="D142" s="17" t="s">
        <v>450</v>
      </c>
      <c r="E142" s="17" t="s">
        <v>451</v>
      </c>
      <c r="F142" s="17" t="s">
        <v>16</v>
      </c>
      <c r="G142" s="18">
        <v>99</v>
      </c>
      <c r="H142" s="19">
        <v>600</v>
      </c>
      <c r="I142" s="19">
        <v>600</v>
      </c>
      <c r="J142" s="15">
        <f t="shared" si="8"/>
        <v>0</v>
      </c>
      <c r="K142" s="20">
        <v>365</v>
      </c>
      <c r="L142" s="20">
        <v>279.5</v>
      </c>
      <c r="M142" s="21" t="s">
        <v>452</v>
      </c>
      <c r="N142" s="91">
        <f t="shared" si="9"/>
        <v>300000</v>
      </c>
      <c r="O142" s="91">
        <f t="shared" si="10"/>
        <v>109500</v>
      </c>
      <c r="P142" s="91">
        <v>50000</v>
      </c>
      <c r="Q142" s="91">
        <f t="shared" si="11"/>
        <v>409500</v>
      </c>
    </row>
    <row r="143" spans="1:17" x14ac:dyDescent="0.2">
      <c r="A143" s="2">
        <v>137</v>
      </c>
      <c r="B143" s="26">
        <v>120</v>
      </c>
      <c r="C143" s="170">
        <v>13</v>
      </c>
      <c r="D143" s="17" t="s">
        <v>453</v>
      </c>
      <c r="E143" s="17" t="s">
        <v>454</v>
      </c>
      <c r="F143" s="17" t="s">
        <v>16</v>
      </c>
      <c r="G143" s="18">
        <v>98</v>
      </c>
      <c r="H143" s="19">
        <v>600</v>
      </c>
      <c r="I143" s="19">
        <v>600</v>
      </c>
      <c r="J143" s="15">
        <f t="shared" si="8"/>
        <v>0</v>
      </c>
      <c r="K143" s="20">
        <v>249</v>
      </c>
      <c r="L143" s="20">
        <v>105.8</v>
      </c>
      <c r="M143" s="21" t="s">
        <v>455</v>
      </c>
      <c r="N143" s="91">
        <f t="shared" si="9"/>
        <v>300000</v>
      </c>
      <c r="O143" s="91">
        <f t="shared" si="10"/>
        <v>74700</v>
      </c>
      <c r="P143" s="91">
        <v>50000</v>
      </c>
      <c r="Q143" s="91">
        <f t="shared" si="11"/>
        <v>374700</v>
      </c>
    </row>
    <row r="144" spans="1:17" x14ac:dyDescent="0.2">
      <c r="A144" s="2">
        <v>138</v>
      </c>
      <c r="B144" s="26">
        <v>121</v>
      </c>
      <c r="C144" s="170">
        <v>13</v>
      </c>
      <c r="D144" s="17" t="s">
        <v>456</v>
      </c>
      <c r="E144" s="17" t="s">
        <v>457</v>
      </c>
      <c r="F144" s="17" t="s">
        <v>16</v>
      </c>
      <c r="G144" s="18">
        <v>100</v>
      </c>
      <c r="H144" s="19">
        <v>600</v>
      </c>
      <c r="I144" s="19">
        <v>600</v>
      </c>
      <c r="J144" s="15">
        <f t="shared" si="8"/>
        <v>0</v>
      </c>
      <c r="K144" s="20">
        <v>349</v>
      </c>
      <c r="L144" s="20">
        <v>166.26</v>
      </c>
      <c r="M144" s="21" t="s">
        <v>458</v>
      </c>
      <c r="N144" s="91">
        <f t="shared" si="9"/>
        <v>300000</v>
      </c>
      <c r="O144" s="91">
        <f t="shared" si="10"/>
        <v>104700</v>
      </c>
      <c r="P144" s="91">
        <v>50000</v>
      </c>
      <c r="Q144" s="91">
        <f t="shared" si="11"/>
        <v>404700</v>
      </c>
    </row>
    <row r="145" spans="1:17" x14ac:dyDescent="0.2">
      <c r="A145" s="2">
        <v>139</v>
      </c>
      <c r="B145" s="26">
        <v>122</v>
      </c>
      <c r="C145" s="170">
        <v>13</v>
      </c>
      <c r="D145" s="17" t="s">
        <v>459</v>
      </c>
      <c r="E145" s="17" t="s">
        <v>460</v>
      </c>
      <c r="F145" s="17" t="s">
        <v>16</v>
      </c>
      <c r="G145" s="18">
        <v>94</v>
      </c>
      <c r="H145" s="19">
        <v>566</v>
      </c>
      <c r="I145" s="19">
        <v>566</v>
      </c>
      <c r="J145" s="15">
        <f t="shared" si="8"/>
        <v>0</v>
      </c>
      <c r="K145" s="20">
        <v>245</v>
      </c>
      <c r="L145" s="20">
        <v>148.9</v>
      </c>
      <c r="M145" s="21" t="s">
        <v>461</v>
      </c>
      <c r="N145" s="91">
        <f t="shared" si="9"/>
        <v>283000</v>
      </c>
      <c r="O145" s="91">
        <f t="shared" si="10"/>
        <v>73500</v>
      </c>
      <c r="P145" s="91">
        <v>50000</v>
      </c>
      <c r="Q145" s="91">
        <f t="shared" si="11"/>
        <v>356500</v>
      </c>
    </row>
    <row r="146" spans="1:17" x14ac:dyDescent="0.2">
      <c r="A146" s="2">
        <v>140</v>
      </c>
      <c r="B146" s="26">
        <v>123</v>
      </c>
      <c r="C146" s="170">
        <v>14</v>
      </c>
      <c r="D146" s="17" t="s">
        <v>462</v>
      </c>
      <c r="E146" s="17" t="s">
        <v>463</v>
      </c>
      <c r="F146" s="17" t="s">
        <v>16</v>
      </c>
      <c r="G146" s="18">
        <v>102</v>
      </c>
      <c r="H146" s="19">
        <v>990</v>
      </c>
      <c r="I146" s="19">
        <v>990</v>
      </c>
      <c r="J146" s="15">
        <f t="shared" si="8"/>
        <v>0</v>
      </c>
      <c r="K146" s="20">
        <v>357</v>
      </c>
      <c r="L146" s="20">
        <v>201.82</v>
      </c>
      <c r="M146" s="21" t="s">
        <v>464</v>
      </c>
      <c r="N146" s="91">
        <f t="shared" si="9"/>
        <v>495000</v>
      </c>
      <c r="O146" s="91">
        <f t="shared" si="10"/>
        <v>107100</v>
      </c>
      <c r="P146" s="91">
        <v>50000</v>
      </c>
      <c r="Q146" s="91">
        <f t="shared" si="11"/>
        <v>602100</v>
      </c>
    </row>
    <row r="147" spans="1:17" x14ac:dyDescent="0.2">
      <c r="A147" s="2">
        <v>141</v>
      </c>
      <c r="B147" s="26">
        <v>124</v>
      </c>
      <c r="C147" s="170">
        <v>14</v>
      </c>
      <c r="D147" s="17" t="s">
        <v>465</v>
      </c>
      <c r="E147" s="17" t="s">
        <v>466</v>
      </c>
      <c r="F147" s="17" t="s">
        <v>16</v>
      </c>
      <c r="G147" s="18">
        <v>106</v>
      </c>
      <c r="H147" s="19">
        <v>1759</v>
      </c>
      <c r="I147" s="19">
        <v>1759</v>
      </c>
      <c r="J147" s="15">
        <f t="shared" si="8"/>
        <v>0</v>
      </c>
      <c r="K147" s="20">
        <v>477</v>
      </c>
      <c r="L147" s="20">
        <v>236.99</v>
      </c>
      <c r="M147" s="21" t="s">
        <v>467</v>
      </c>
      <c r="N147" s="91">
        <f t="shared" si="9"/>
        <v>1055400</v>
      </c>
      <c r="O147" s="91">
        <f t="shared" si="10"/>
        <v>143100</v>
      </c>
      <c r="P147" s="91">
        <v>60000</v>
      </c>
      <c r="Q147" s="91">
        <f t="shared" si="11"/>
        <v>1198500</v>
      </c>
    </row>
    <row r="148" spans="1:17" x14ac:dyDescent="0.2">
      <c r="A148" s="2">
        <v>142</v>
      </c>
      <c r="B148" s="26">
        <v>125</v>
      </c>
      <c r="C148" s="170">
        <v>14</v>
      </c>
      <c r="D148" s="17" t="s">
        <v>468</v>
      </c>
      <c r="E148" s="17" t="s">
        <v>469</v>
      </c>
      <c r="F148" s="17" t="s">
        <v>16</v>
      </c>
      <c r="G148" s="18">
        <v>131</v>
      </c>
      <c r="H148" s="19">
        <v>600</v>
      </c>
      <c r="I148" s="19">
        <v>600</v>
      </c>
      <c r="J148" s="15">
        <f t="shared" si="8"/>
        <v>0</v>
      </c>
      <c r="K148" s="20">
        <v>226</v>
      </c>
      <c r="L148" s="20">
        <v>122.29</v>
      </c>
      <c r="M148" s="21" t="s">
        <v>470</v>
      </c>
      <c r="N148" s="91">
        <f t="shared" si="9"/>
        <v>390000</v>
      </c>
      <c r="O148" s="91">
        <f t="shared" si="10"/>
        <v>67800</v>
      </c>
      <c r="P148" s="91">
        <v>65000</v>
      </c>
      <c r="Q148" s="91">
        <f t="shared" si="11"/>
        <v>457800</v>
      </c>
    </row>
    <row r="149" spans="1:17" x14ac:dyDescent="0.2">
      <c r="A149" s="2">
        <v>143</v>
      </c>
      <c r="B149" s="26">
        <v>126</v>
      </c>
      <c r="C149" s="170">
        <v>14</v>
      </c>
      <c r="D149" s="17" t="s">
        <v>471</v>
      </c>
      <c r="E149" s="17" t="s">
        <v>472</v>
      </c>
      <c r="F149" s="17" t="s">
        <v>16</v>
      </c>
      <c r="G149" s="18">
        <v>105</v>
      </c>
      <c r="H149" s="19">
        <v>739</v>
      </c>
      <c r="I149" s="19">
        <v>739</v>
      </c>
      <c r="J149" s="15">
        <f>I149-H149</f>
        <v>0</v>
      </c>
      <c r="K149" s="20">
        <v>427</v>
      </c>
      <c r="L149" s="20">
        <v>211.65</v>
      </c>
      <c r="M149" s="21" t="s">
        <v>473</v>
      </c>
      <c r="N149" s="91">
        <f t="shared" si="9"/>
        <v>369500</v>
      </c>
      <c r="O149" s="91">
        <f t="shared" si="10"/>
        <v>128100</v>
      </c>
      <c r="P149" s="91">
        <v>50000</v>
      </c>
      <c r="Q149" s="91">
        <f t="shared" si="11"/>
        <v>497600</v>
      </c>
    </row>
    <row r="150" spans="1:17" x14ac:dyDescent="0.2">
      <c r="A150" s="2">
        <v>144</v>
      </c>
      <c r="B150" s="26">
        <v>127</v>
      </c>
      <c r="C150" s="170">
        <v>14</v>
      </c>
      <c r="D150" s="17" t="s">
        <v>474</v>
      </c>
      <c r="E150" s="17" t="s">
        <v>475</v>
      </c>
      <c r="F150" s="17" t="s">
        <v>16</v>
      </c>
      <c r="G150" s="18">
        <v>110</v>
      </c>
      <c r="H150" s="19">
        <v>523</v>
      </c>
      <c r="I150" s="19">
        <v>523</v>
      </c>
      <c r="J150" s="15">
        <f t="shared" si="8"/>
        <v>0</v>
      </c>
      <c r="K150" s="20">
        <v>195</v>
      </c>
      <c r="L150" s="20">
        <v>99.21</v>
      </c>
      <c r="M150" s="21" t="s">
        <v>476</v>
      </c>
      <c r="N150" s="91">
        <f t="shared" si="9"/>
        <v>261500</v>
      </c>
      <c r="O150" s="91">
        <f t="shared" si="10"/>
        <v>58500</v>
      </c>
      <c r="P150" s="91">
        <v>50000</v>
      </c>
      <c r="Q150" s="91">
        <f t="shared" si="11"/>
        <v>320000</v>
      </c>
    </row>
    <row r="151" spans="1:17" x14ac:dyDescent="0.2">
      <c r="A151" s="2">
        <v>145</v>
      </c>
      <c r="B151" s="26">
        <v>128</v>
      </c>
      <c r="C151" s="170">
        <v>14</v>
      </c>
      <c r="D151" s="17" t="s">
        <v>477</v>
      </c>
      <c r="E151" s="17" t="s">
        <v>478</v>
      </c>
      <c r="F151" s="17" t="s">
        <v>16</v>
      </c>
      <c r="G151" s="18">
        <v>112</v>
      </c>
      <c r="H151" s="19">
        <v>600</v>
      </c>
      <c r="I151" s="19">
        <v>600</v>
      </c>
      <c r="J151" s="15">
        <f t="shared" si="8"/>
        <v>0</v>
      </c>
      <c r="K151" s="20">
        <v>391</v>
      </c>
      <c r="L151" s="20">
        <v>174.5</v>
      </c>
      <c r="M151" s="21" t="s">
        <v>479</v>
      </c>
      <c r="N151" s="91">
        <f t="shared" si="9"/>
        <v>360000</v>
      </c>
      <c r="O151" s="91">
        <f t="shared" si="10"/>
        <v>117300</v>
      </c>
      <c r="P151" s="91">
        <v>60000</v>
      </c>
      <c r="Q151" s="91">
        <f t="shared" si="11"/>
        <v>477300</v>
      </c>
    </row>
    <row r="152" spans="1:17" x14ac:dyDescent="0.2">
      <c r="A152" s="2">
        <v>146</v>
      </c>
      <c r="B152" s="26">
        <v>129</v>
      </c>
      <c r="C152" s="170">
        <v>14</v>
      </c>
      <c r="D152" s="17" t="s">
        <v>480</v>
      </c>
      <c r="E152" s="17" t="s">
        <v>481</v>
      </c>
      <c r="F152" s="17" t="s">
        <v>16</v>
      </c>
      <c r="G152" s="18">
        <v>116</v>
      </c>
      <c r="H152" s="19">
        <v>600</v>
      </c>
      <c r="I152" s="20">
        <v>575</v>
      </c>
      <c r="J152" s="15">
        <f t="shared" si="8"/>
        <v>-25</v>
      </c>
      <c r="K152" s="20">
        <v>332</v>
      </c>
      <c r="L152" s="20">
        <v>132.63999999999999</v>
      </c>
      <c r="M152" s="21" t="s">
        <v>482</v>
      </c>
      <c r="N152" s="91">
        <f t="shared" si="9"/>
        <v>345000</v>
      </c>
      <c r="O152" s="91">
        <f t="shared" si="10"/>
        <v>99600</v>
      </c>
      <c r="P152" s="91">
        <v>60000</v>
      </c>
      <c r="Q152" s="91">
        <f t="shared" si="11"/>
        <v>444600</v>
      </c>
    </row>
    <row r="153" spans="1:17" x14ac:dyDescent="0.2">
      <c r="A153" s="2">
        <v>147</v>
      </c>
      <c r="B153" s="26">
        <v>130</v>
      </c>
      <c r="C153" s="170">
        <v>14</v>
      </c>
      <c r="D153" s="17" t="s">
        <v>483</v>
      </c>
      <c r="E153" s="17" t="s">
        <v>484</v>
      </c>
      <c r="F153" s="17" t="s">
        <v>16</v>
      </c>
      <c r="G153" s="18" t="s">
        <v>485</v>
      </c>
      <c r="H153" s="19">
        <v>1387</v>
      </c>
      <c r="I153" s="20">
        <v>794</v>
      </c>
      <c r="J153" s="15">
        <f t="shared" si="8"/>
        <v>-593</v>
      </c>
      <c r="K153" s="20">
        <v>421</v>
      </c>
      <c r="L153" s="20">
        <v>109.27</v>
      </c>
      <c r="M153" s="21" t="s">
        <v>486</v>
      </c>
      <c r="N153" s="91">
        <f t="shared" si="9"/>
        <v>397000</v>
      </c>
      <c r="O153" s="91">
        <f t="shared" si="10"/>
        <v>126300</v>
      </c>
      <c r="P153" s="91">
        <v>50000</v>
      </c>
      <c r="Q153" s="91">
        <f t="shared" si="11"/>
        <v>523300</v>
      </c>
    </row>
    <row r="154" spans="1:17" x14ac:dyDescent="0.2">
      <c r="A154" s="2">
        <v>148</v>
      </c>
      <c r="B154" s="26">
        <v>131</v>
      </c>
      <c r="C154" s="170">
        <v>14</v>
      </c>
      <c r="D154" s="17" t="s">
        <v>487</v>
      </c>
      <c r="E154" s="17" t="s">
        <v>488</v>
      </c>
      <c r="F154" s="17" t="s">
        <v>16</v>
      </c>
      <c r="G154" s="18">
        <v>114</v>
      </c>
      <c r="H154" s="19">
        <v>1387</v>
      </c>
      <c r="I154" s="20">
        <v>586</v>
      </c>
      <c r="J154" s="15">
        <f t="shared" si="8"/>
        <v>-801</v>
      </c>
      <c r="K154" s="20">
        <v>234</v>
      </c>
      <c r="L154" s="20">
        <v>98.78</v>
      </c>
      <c r="M154" s="21" t="s">
        <v>489</v>
      </c>
      <c r="N154" s="91">
        <f t="shared" si="9"/>
        <v>293000</v>
      </c>
      <c r="O154" s="91">
        <f t="shared" si="10"/>
        <v>70200</v>
      </c>
      <c r="P154" s="91">
        <v>50000</v>
      </c>
      <c r="Q154" s="91">
        <f t="shared" si="11"/>
        <v>363200</v>
      </c>
    </row>
    <row r="155" spans="1:17" x14ac:dyDescent="0.2">
      <c r="A155" s="2">
        <v>149</v>
      </c>
      <c r="B155" s="26">
        <v>132</v>
      </c>
      <c r="C155" s="170">
        <v>14</v>
      </c>
      <c r="D155" s="17" t="s">
        <v>490</v>
      </c>
      <c r="E155" s="17" t="s">
        <v>491</v>
      </c>
      <c r="F155" s="17" t="s">
        <v>16</v>
      </c>
      <c r="G155" s="18" t="s">
        <v>492</v>
      </c>
      <c r="H155" s="19">
        <v>600</v>
      </c>
      <c r="I155" s="19">
        <v>600</v>
      </c>
      <c r="J155" s="15">
        <f t="shared" si="8"/>
        <v>0</v>
      </c>
      <c r="K155" s="20">
        <v>460</v>
      </c>
      <c r="L155" s="20">
        <v>198.34</v>
      </c>
      <c r="M155" s="21" t="s">
        <v>493</v>
      </c>
      <c r="N155" s="91">
        <f t="shared" si="9"/>
        <v>390000</v>
      </c>
      <c r="O155" s="91">
        <f t="shared" si="10"/>
        <v>138000</v>
      </c>
      <c r="P155" s="91">
        <v>65000</v>
      </c>
      <c r="Q155" s="91">
        <f t="shared" si="11"/>
        <v>528000</v>
      </c>
    </row>
    <row r="156" spans="1:17" x14ac:dyDescent="0.2">
      <c r="A156" s="2">
        <v>150</v>
      </c>
      <c r="B156" s="26">
        <v>133</v>
      </c>
      <c r="C156" s="170">
        <v>14</v>
      </c>
      <c r="D156" s="17" t="s">
        <v>494</v>
      </c>
      <c r="E156" s="17" t="s">
        <v>495</v>
      </c>
      <c r="F156" s="17" t="s">
        <v>16</v>
      </c>
      <c r="G156" s="18">
        <v>4</v>
      </c>
      <c r="H156" s="19">
        <v>1037</v>
      </c>
      <c r="I156" s="19">
        <v>1037</v>
      </c>
      <c r="J156" s="15">
        <f t="shared" si="8"/>
        <v>0</v>
      </c>
      <c r="K156" s="20">
        <v>494</v>
      </c>
      <c r="L156" s="20">
        <v>180.1</v>
      </c>
      <c r="M156" s="21" t="s">
        <v>496</v>
      </c>
      <c r="N156" s="91">
        <f t="shared" si="9"/>
        <v>622200</v>
      </c>
      <c r="O156" s="91">
        <f t="shared" si="10"/>
        <v>148200</v>
      </c>
      <c r="P156" s="91">
        <v>60000</v>
      </c>
      <c r="Q156" s="91">
        <f t="shared" si="11"/>
        <v>770400</v>
      </c>
    </row>
    <row r="157" spans="1:17" x14ac:dyDescent="0.2">
      <c r="A157" s="2">
        <v>151</v>
      </c>
      <c r="B157" s="18">
        <v>161</v>
      </c>
      <c r="C157" s="170">
        <v>9</v>
      </c>
      <c r="D157" s="17" t="s">
        <v>497</v>
      </c>
      <c r="E157" s="17" t="s">
        <v>498</v>
      </c>
      <c r="F157" s="17" t="s">
        <v>16</v>
      </c>
      <c r="G157" s="18">
        <v>16</v>
      </c>
      <c r="H157" s="19">
        <v>458</v>
      </c>
      <c r="I157" s="19">
        <v>458</v>
      </c>
      <c r="J157" s="15">
        <f t="shared" si="8"/>
        <v>0</v>
      </c>
      <c r="K157" s="20">
        <v>328</v>
      </c>
      <c r="L157" s="20">
        <v>147.97</v>
      </c>
      <c r="M157" s="21" t="s">
        <v>499</v>
      </c>
      <c r="N157" s="91">
        <f t="shared" si="9"/>
        <v>229000</v>
      </c>
      <c r="O157" s="91">
        <f t="shared" si="10"/>
        <v>98400</v>
      </c>
      <c r="P157" s="91">
        <v>50000</v>
      </c>
      <c r="Q157" s="91">
        <f t="shared" si="11"/>
        <v>327400</v>
      </c>
    </row>
    <row r="158" spans="1:17" s="31" customFormat="1" x14ac:dyDescent="0.2">
      <c r="A158" s="2"/>
      <c r="B158" s="28"/>
      <c r="C158" s="171"/>
      <c r="D158" s="163" t="s">
        <v>83</v>
      </c>
      <c r="E158" s="163"/>
      <c r="F158" s="27"/>
      <c r="G158" s="27"/>
      <c r="H158" s="29">
        <f>SUM(H26:H157)</f>
        <v>95140</v>
      </c>
      <c r="I158" s="29">
        <f t="shared" ref="I158:L158" si="12">SUM(I26:I157)</f>
        <v>90597</v>
      </c>
      <c r="J158" s="29">
        <f t="shared" si="12"/>
        <v>-2352</v>
      </c>
      <c r="K158" s="29">
        <f t="shared" si="12"/>
        <v>42401.01</v>
      </c>
      <c r="L158" s="29">
        <f t="shared" si="12"/>
        <v>17172.349999999999</v>
      </c>
      <c r="M158" s="30"/>
      <c r="N158" s="93">
        <f>SUM(N26:N157)+N24</f>
        <v>61753350</v>
      </c>
      <c r="O158" s="93">
        <f>SUM(O26:O157)+O24</f>
        <v>14606103</v>
      </c>
      <c r="P158" s="92"/>
      <c r="Q158" s="92">
        <f t="shared" si="11"/>
        <v>76359453</v>
      </c>
    </row>
    <row r="159" spans="1:17" x14ac:dyDescent="0.2">
      <c r="A159" s="32"/>
      <c r="H159" s="1"/>
      <c r="I159" s="1"/>
      <c r="J159" s="1"/>
      <c r="K159" s="1"/>
      <c r="L159" s="1"/>
      <c r="M159" s="34"/>
      <c r="N159" s="35"/>
    </row>
    <row r="160" spans="1:17" x14ac:dyDescent="0.2">
      <c r="A160" s="32"/>
      <c r="H160" s="1"/>
      <c r="I160" s="1"/>
      <c r="J160" s="1"/>
      <c r="K160" s="1"/>
      <c r="L160" s="1"/>
      <c r="M160" s="34"/>
    </row>
    <row r="161" spans="1:13" x14ac:dyDescent="0.2">
      <c r="A161" s="32"/>
      <c r="H161" s="1"/>
      <c r="I161" s="1"/>
      <c r="J161" s="1"/>
      <c r="K161" s="1"/>
      <c r="L161" s="1"/>
      <c r="M161" s="34"/>
    </row>
    <row r="162" spans="1:13" x14ac:dyDescent="0.2">
      <c r="A162" s="32"/>
      <c r="H162" s="1"/>
      <c r="I162" s="1"/>
      <c r="J162" s="1"/>
      <c r="K162" s="1"/>
      <c r="L162" s="1"/>
      <c r="M162" s="34"/>
    </row>
    <row r="163" spans="1:13" x14ac:dyDescent="0.2">
      <c r="A163" s="32"/>
      <c r="H163" s="1"/>
      <c r="I163" s="1"/>
      <c r="J163" s="1"/>
      <c r="K163" s="1"/>
      <c r="L163" s="1"/>
      <c r="M163" s="34"/>
    </row>
    <row r="164" spans="1:13" x14ac:dyDescent="0.2">
      <c r="A164" s="32"/>
      <c r="H164" s="1"/>
      <c r="I164" s="1"/>
      <c r="J164" s="1"/>
      <c r="K164" s="1"/>
      <c r="L164" s="1"/>
      <c r="M164" s="34"/>
    </row>
    <row r="165" spans="1:13" x14ac:dyDescent="0.2">
      <c r="A165" s="32"/>
      <c r="H165" s="1"/>
      <c r="I165" s="1"/>
      <c r="J165" s="1"/>
      <c r="K165" s="1"/>
      <c r="L165" s="1"/>
      <c r="M165" s="34"/>
    </row>
    <row r="166" spans="1:13" x14ac:dyDescent="0.2">
      <c r="A166" s="32"/>
      <c r="H166" s="1"/>
      <c r="I166" s="1"/>
      <c r="J166" s="1"/>
      <c r="K166" s="1"/>
      <c r="L166" s="1"/>
      <c r="M166" s="34"/>
    </row>
    <row r="167" spans="1:13" x14ac:dyDescent="0.2">
      <c r="A167" s="32"/>
      <c r="H167" s="1"/>
      <c r="I167" s="1"/>
      <c r="J167" s="1"/>
      <c r="K167" s="1"/>
      <c r="L167" s="1"/>
      <c r="M167" s="34"/>
    </row>
    <row r="168" spans="1:13" x14ac:dyDescent="0.2">
      <c r="A168" s="32"/>
      <c r="H168" s="1"/>
      <c r="I168" s="1"/>
      <c r="J168" s="1"/>
      <c r="K168" s="1"/>
      <c r="L168" s="1"/>
      <c r="M168" s="34"/>
    </row>
    <row r="169" spans="1:13" x14ac:dyDescent="0.2">
      <c r="A169" s="32"/>
      <c r="H169" s="1"/>
      <c r="I169" s="1"/>
      <c r="J169" s="1"/>
      <c r="K169" s="1"/>
      <c r="L169" s="1"/>
      <c r="M169" s="34"/>
    </row>
    <row r="170" spans="1:13" x14ac:dyDescent="0.2">
      <c r="A170" s="32"/>
      <c r="H170" s="1"/>
      <c r="I170" s="1"/>
      <c r="J170" s="1"/>
      <c r="K170" s="1"/>
      <c r="L170" s="1"/>
      <c r="M170" s="34"/>
    </row>
    <row r="171" spans="1:13" x14ac:dyDescent="0.2">
      <c r="A171" s="32"/>
      <c r="H171" s="1"/>
      <c r="I171" s="1"/>
      <c r="J171" s="1"/>
      <c r="K171" s="1"/>
      <c r="L171" s="1"/>
      <c r="M171" s="34"/>
    </row>
    <row r="172" spans="1:13" x14ac:dyDescent="0.2">
      <c r="A172" s="32"/>
      <c r="H172" s="1"/>
      <c r="I172" s="1"/>
      <c r="J172" s="1"/>
      <c r="K172" s="1"/>
      <c r="L172" s="1"/>
      <c r="M172" s="34"/>
    </row>
    <row r="173" spans="1:13" x14ac:dyDescent="0.2">
      <c r="A173" s="32"/>
      <c r="H173" s="1"/>
      <c r="I173" s="1"/>
      <c r="J173" s="1"/>
      <c r="K173" s="1"/>
      <c r="L173" s="1"/>
      <c r="M173" s="34"/>
    </row>
    <row r="174" spans="1:13" x14ac:dyDescent="0.2">
      <c r="A174" s="32"/>
      <c r="H174" s="1"/>
      <c r="I174" s="1"/>
      <c r="J174" s="1"/>
      <c r="K174" s="1"/>
      <c r="L174" s="1"/>
      <c r="M174" s="34"/>
    </row>
    <row r="175" spans="1:13" x14ac:dyDescent="0.2">
      <c r="A175" s="32"/>
      <c r="H175" s="1"/>
      <c r="I175" s="1"/>
      <c r="J175" s="1"/>
      <c r="K175" s="1"/>
      <c r="L175" s="1"/>
      <c r="M175" s="34"/>
    </row>
    <row r="176" spans="1:13" x14ac:dyDescent="0.2">
      <c r="A176" s="32"/>
      <c r="H176" s="1"/>
      <c r="I176" s="1"/>
      <c r="J176" s="1"/>
      <c r="K176" s="1"/>
      <c r="L176" s="1"/>
      <c r="M176" s="34"/>
    </row>
    <row r="177" spans="1:13" x14ac:dyDescent="0.2">
      <c r="A177" s="32"/>
      <c r="B177" s="36"/>
      <c r="C177" s="173"/>
      <c r="D177" s="32"/>
      <c r="E177" s="32"/>
      <c r="F177" s="32"/>
      <c r="G177" s="32"/>
      <c r="H177" s="37"/>
      <c r="I177" s="37"/>
      <c r="J177" s="37"/>
      <c r="K177" s="37"/>
      <c r="L177" s="37"/>
      <c r="M177" s="34"/>
    </row>
    <row r="178" spans="1:13" x14ac:dyDescent="0.2">
      <c r="A178" s="32"/>
      <c r="B178" s="36"/>
      <c r="C178" s="173"/>
      <c r="D178" s="32"/>
      <c r="E178" s="32"/>
      <c r="F178" s="32"/>
      <c r="G178" s="32"/>
      <c r="H178" s="37"/>
      <c r="I178" s="37"/>
      <c r="J178" s="37"/>
      <c r="K178" s="37"/>
      <c r="L178" s="37"/>
      <c r="M178" s="34"/>
    </row>
    <row r="179" spans="1:13" x14ac:dyDescent="0.2">
      <c r="A179" s="32"/>
      <c r="B179" s="36"/>
      <c r="C179" s="173"/>
      <c r="D179" s="32"/>
      <c r="E179" s="32"/>
      <c r="F179" s="32"/>
      <c r="G179" s="32"/>
      <c r="H179" s="37"/>
      <c r="I179" s="37"/>
      <c r="J179" s="37"/>
      <c r="K179" s="37"/>
      <c r="L179" s="37"/>
      <c r="M179" s="34"/>
    </row>
    <row r="180" spans="1:13" x14ac:dyDescent="0.2">
      <c r="A180" s="32"/>
      <c r="B180" s="36"/>
      <c r="C180" s="173"/>
      <c r="D180" s="32"/>
      <c r="E180" s="32"/>
      <c r="F180" s="32"/>
      <c r="G180" s="32"/>
      <c r="H180" s="37"/>
      <c r="I180" s="37"/>
      <c r="J180" s="37"/>
      <c r="K180" s="37"/>
      <c r="L180" s="37"/>
      <c r="M180" s="34"/>
    </row>
    <row r="181" spans="1:13" x14ac:dyDescent="0.2">
      <c r="A181" s="32"/>
      <c r="B181" s="36"/>
      <c r="C181" s="173"/>
      <c r="D181" s="32"/>
      <c r="E181" s="32"/>
      <c r="F181" s="32"/>
      <c r="G181" s="32"/>
      <c r="H181" s="37"/>
      <c r="I181" s="37"/>
      <c r="J181" s="37"/>
      <c r="K181" s="37"/>
      <c r="L181" s="37"/>
      <c r="M181" s="34"/>
    </row>
    <row r="182" spans="1:13" x14ac:dyDescent="0.2">
      <c r="A182" s="32"/>
      <c r="B182" s="36"/>
      <c r="C182" s="173"/>
      <c r="D182" s="32"/>
      <c r="E182" s="32"/>
      <c r="F182" s="32"/>
      <c r="G182" s="32"/>
      <c r="H182" s="37"/>
      <c r="I182" s="37"/>
      <c r="J182" s="37"/>
      <c r="K182" s="37"/>
      <c r="L182" s="37"/>
      <c r="M182" s="34"/>
    </row>
    <row r="183" spans="1:13" x14ac:dyDescent="0.2">
      <c r="A183" s="32"/>
      <c r="B183" s="36"/>
      <c r="C183" s="173"/>
      <c r="D183" s="32"/>
      <c r="E183" s="32"/>
      <c r="F183" s="32"/>
      <c r="G183" s="32"/>
      <c r="H183" s="37"/>
      <c r="I183" s="37"/>
      <c r="J183" s="37"/>
      <c r="K183" s="37"/>
      <c r="L183" s="37"/>
      <c r="M183" s="34"/>
    </row>
    <row r="184" spans="1:13" x14ac:dyDescent="0.2">
      <c r="A184" s="32"/>
      <c r="B184" s="36"/>
      <c r="C184" s="173"/>
      <c r="D184" s="32"/>
      <c r="E184" s="32"/>
      <c r="F184" s="32"/>
      <c r="G184" s="32"/>
      <c r="H184" s="37"/>
      <c r="I184" s="37"/>
      <c r="J184" s="37"/>
      <c r="K184" s="37"/>
      <c r="L184" s="37"/>
      <c r="M184" s="34"/>
    </row>
    <row r="185" spans="1:13" x14ac:dyDescent="0.2">
      <c r="A185" s="32"/>
      <c r="B185" s="36"/>
      <c r="C185" s="173"/>
      <c r="D185" s="32"/>
      <c r="E185" s="32"/>
      <c r="F185" s="32"/>
      <c r="G185" s="32"/>
      <c r="H185" s="37"/>
      <c r="I185" s="37"/>
      <c r="J185" s="37"/>
      <c r="K185" s="37"/>
      <c r="L185" s="37"/>
      <c r="M185" s="34"/>
    </row>
    <row r="186" spans="1:13" x14ac:dyDescent="0.2">
      <c r="A186" s="32"/>
      <c r="B186" s="36"/>
      <c r="C186" s="173"/>
      <c r="D186" s="32"/>
      <c r="E186" s="32"/>
      <c r="F186" s="32"/>
      <c r="G186" s="32"/>
      <c r="H186" s="37"/>
      <c r="I186" s="37"/>
      <c r="J186" s="37"/>
      <c r="K186" s="37"/>
      <c r="L186" s="37"/>
      <c r="M186" s="34"/>
    </row>
    <row r="187" spans="1:13" x14ac:dyDescent="0.2">
      <c r="A187" s="32"/>
      <c r="B187" s="36"/>
      <c r="C187" s="173"/>
      <c r="D187" s="32"/>
      <c r="E187" s="32"/>
      <c r="F187" s="32"/>
      <c r="G187" s="32"/>
      <c r="H187" s="37"/>
      <c r="I187" s="37"/>
      <c r="J187" s="37"/>
      <c r="K187" s="37"/>
      <c r="L187" s="37"/>
      <c r="M187" s="34"/>
    </row>
    <row r="188" spans="1:13" x14ac:dyDescent="0.2">
      <c r="A188" s="32"/>
      <c r="B188" s="36"/>
      <c r="C188" s="173"/>
      <c r="D188" s="32"/>
      <c r="E188" s="32"/>
      <c r="F188" s="32"/>
      <c r="G188" s="32"/>
      <c r="H188" s="37"/>
      <c r="I188" s="37"/>
      <c r="J188" s="37"/>
      <c r="K188" s="37"/>
      <c r="L188" s="37"/>
      <c r="M188" s="34"/>
    </row>
    <row r="189" spans="1:13" x14ac:dyDescent="0.2">
      <c r="A189" s="32"/>
      <c r="B189" s="36"/>
      <c r="C189" s="173"/>
      <c r="D189" s="32"/>
      <c r="E189" s="32"/>
      <c r="F189" s="32"/>
      <c r="G189" s="32"/>
      <c r="H189" s="37"/>
      <c r="I189" s="37"/>
      <c r="J189" s="37"/>
      <c r="K189" s="37"/>
      <c r="L189" s="37"/>
      <c r="M189" s="34"/>
    </row>
    <row r="190" spans="1:13" x14ac:dyDescent="0.2">
      <c r="A190" s="32"/>
      <c r="B190" s="36"/>
      <c r="C190" s="173"/>
      <c r="D190" s="32"/>
      <c r="E190" s="32"/>
      <c r="F190" s="32"/>
      <c r="G190" s="32"/>
      <c r="H190" s="37"/>
      <c r="I190" s="37"/>
      <c r="J190" s="37"/>
      <c r="K190" s="37"/>
      <c r="L190" s="37"/>
      <c r="M190" s="34"/>
    </row>
    <row r="191" spans="1:13" x14ac:dyDescent="0.2">
      <c r="A191" s="32"/>
      <c r="B191" s="36"/>
      <c r="C191" s="173"/>
      <c r="D191" s="32"/>
      <c r="E191" s="32"/>
      <c r="F191" s="32"/>
      <c r="G191" s="32"/>
      <c r="H191" s="37"/>
      <c r="I191" s="37"/>
      <c r="J191" s="37"/>
      <c r="K191" s="37"/>
      <c r="L191" s="37"/>
      <c r="M191" s="34"/>
    </row>
  </sheetData>
  <mergeCells count="3">
    <mergeCell ref="D24:E24"/>
    <mergeCell ref="D158:E158"/>
    <mergeCell ref="A1:Q1"/>
  </mergeCells>
  <pageMargins left="0.7" right="0.7" top="0.75" bottom="0.75" header="0.3" footer="0.3"/>
  <pageSetup paperSize="9" scale="71" fitToHeight="4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97E6-4D77-8F41-97CF-9C98D82035DB}">
  <sheetPr>
    <pageSetUpPr fitToPage="1"/>
  </sheetPr>
  <dimension ref="A1:U237"/>
  <sheetViews>
    <sheetView zoomScale="90" zoomScaleNormal="90" workbookViewId="0">
      <pane ySplit="1" topLeftCell="A92" activePane="bottomLeft" state="frozen"/>
      <selection pane="bottomLeft" activeCell="C112" sqref="C112"/>
    </sheetView>
  </sheetViews>
  <sheetFormatPr baseColWidth="10" defaultColWidth="11" defaultRowHeight="16" x14ac:dyDescent="0.2"/>
  <cols>
    <col min="1" max="1" width="4.6640625" style="33" bestFit="1" customWidth="1"/>
    <col min="2" max="2" width="4.83203125" style="33" customWidth="1"/>
    <col min="3" max="3" width="76.5" style="33" customWidth="1"/>
    <col min="4" max="4" width="22.6640625" style="33" customWidth="1"/>
    <col min="5" max="5" width="14.33203125" style="33" customWidth="1"/>
    <col min="6" max="6" width="17.5" style="33" customWidth="1"/>
    <col min="7" max="7" width="12.6640625" style="33" customWidth="1"/>
    <col min="8" max="8" width="12.1640625" style="121" customWidth="1"/>
    <col min="9" max="9" width="12.33203125" style="121" customWidth="1"/>
    <col min="10" max="10" width="13.5" style="121" customWidth="1"/>
    <col min="11" max="11" width="11.33203125" style="121" customWidth="1"/>
    <col min="12" max="12" width="16.33203125" style="121" customWidth="1"/>
    <col min="13" max="13" width="95.83203125" style="121" hidden="1" customWidth="1"/>
    <col min="14" max="14" width="13.1640625" style="33" customWidth="1"/>
    <col min="15" max="15" width="13.5" style="33" customWidth="1"/>
    <col min="16" max="16" width="8.5" style="33" customWidth="1"/>
    <col min="17" max="17" width="17.33203125" style="33" bestFit="1" customWidth="1"/>
    <col min="18" max="19" width="11" style="33"/>
    <col min="20" max="20" width="12.33203125" style="33" bestFit="1" customWidth="1"/>
    <col min="21" max="21" width="16.5" style="33" bestFit="1" customWidth="1"/>
    <col min="22" max="16384" width="11" style="33"/>
  </cols>
  <sheetData>
    <row r="1" spans="1:21" s="122" customFormat="1" ht="76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617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600</v>
      </c>
      <c r="O1" s="4" t="s">
        <v>13</v>
      </c>
      <c r="P1" s="4"/>
      <c r="Q1" s="4" t="s">
        <v>613</v>
      </c>
      <c r="R1" s="4" t="s">
        <v>620</v>
      </c>
      <c r="S1" s="4" t="s">
        <v>619</v>
      </c>
      <c r="T1" s="139" t="s">
        <v>621</v>
      </c>
      <c r="U1" s="139" t="s">
        <v>622</v>
      </c>
    </row>
    <row r="2" spans="1:21" ht="17" x14ac:dyDescent="0.2">
      <c r="A2" s="28">
        <v>1</v>
      </c>
      <c r="B2" s="44">
        <v>123</v>
      </c>
      <c r="C2" s="97" t="s">
        <v>462</v>
      </c>
      <c r="D2" s="97" t="s">
        <v>463</v>
      </c>
      <c r="E2" s="97">
        <v>1</v>
      </c>
      <c r="F2" s="97" t="s">
        <v>16</v>
      </c>
      <c r="G2" s="44">
        <v>102</v>
      </c>
      <c r="H2" s="113">
        <v>990</v>
      </c>
      <c r="I2" s="113">
        <v>990</v>
      </c>
      <c r="J2" s="119">
        <f t="shared" ref="J2:J12" si="0">I2-H2</f>
        <v>0</v>
      </c>
      <c r="K2" s="97">
        <v>357</v>
      </c>
      <c r="L2" s="97">
        <v>201.82</v>
      </c>
      <c r="M2" s="97" t="s">
        <v>464</v>
      </c>
      <c r="N2" s="91">
        <f t="shared" ref="N2:N12" si="1">I2*P2/100</f>
        <v>495000</v>
      </c>
      <c r="O2" s="91">
        <f t="shared" ref="O2:O12" si="2">K2*300</f>
        <v>107100</v>
      </c>
      <c r="P2" s="91">
        <v>50000</v>
      </c>
      <c r="Q2" s="91">
        <f t="shared" ref="Q2:Q12" si="3">N2+O2</f>
        <v>602100</v>
      </c>
      <c r="R2" s="44"/>
      <c r="S2" s="44"/>
    </row>
    <row r="3" spans="1:21" ht="17" x14ac:dyDescent="0.2">
      <c r="A3" s="28">
        <v>2</v>
      </c>
      <c r="B3" s="44">
        <v>124</v>
      </c>
      <c r="C3" s="97" t="s">
        <v>465</v>
      </c>
      <c r="D3" s="97" t="s">
        <v>466</v>
      </c>
      <c r="E3" s="97">
        <v>1</v>
      </c>
      <c r="F3" s="97" t="s">
        <v>16</v>
      </c>
      <c r="G3" s="44">
        <v>106</v>
      </c>
      <c r="H3" s="113">
        <v>1759</v>
      </c>
      <c r="I3" s="113">
        <v>1759</v>
      </c>
      <c r="J3" s="119">
        <f t="shared" si="0"/>
        <v>0</v>
      </c>
      <c r="K3" s="97">
        <v>477</v>
      </c>
      <c r="L3" s="97">
        <v>236.99</v>
      </c>
      <c r="M3" s="97" t="s">
        <v>467</v>
      </c>
      <c r="N3" s="91">
        <f t="shared" si="1"/>
        <v>1055400</v>
      </c>
      <c r="O3" s="91">
        <f t="shared" si="2"/>
        <v>143100</v>
      </c>
      <c r="P3" s="91">
        <v>60000</v>
      </c>
      <c r="Q3" s="91">
        <f t="shared" si="3"/>
        <v>1198500</v>
      </c>
      <c r="R3" s="44"/>
      <c r="S3" s="44"/>
    </row>
    <row r="4" spans="1:21" ht="17" x14ac:dyDescent="0.2">
      <c r="A4" s="28">
        <v>3</v>
      </c>
      <c r="B4" s="44">
        <v>125</v>
      </c>
      <c r="C4" s="97" t="s">
        <v>468</v>
      </c>
      <c r="D4" s="97" t="s">
        <v>469</v>
      </c>
      <c r="E4" s="97">
        <v>1</v>
      </c>
      <c r="F4" s="97" t="s">
        <v>16</v>
      </c>
      <c r="G4" s="44">
        <v>131</v>
      </c>
      <c r="H4" s="113">
        <v>600</v>
      </c>
      <c r="I4" s="113">
        <v>600</v>
      </c>
      <c r="J4" s="119">
        <f t="shared" si="0"/>
        <v>0</v>
      </c>
      <c r="K4" s="97">
        <v>226</v>
      </c>
      <c r="L4" s="97">
        <v>122.29</v>
      </c>
      <c r="M4" s="97" t="s">
        <v>470</v>
      </c>
      <c r="N4" s="91">
        <f t="shared" si="1"/>
        <v>390000</v>
      </c>
      <c r="O4" s="91">
        <f t="shared" si="2"/>
        <v>67800</v>
      </c>
      <c r="P4" s="91">
        <v>65000</v>
      </c>
      <c r="Q4" s="91">
        <f t="shared" si="3"/>
        <v>457800</v>
      </c>
      <c r="R4" s="44"/>
      <c r="S4" s="44"/>
    </row>
    <row r="5" spans="1:21" ht="17" x14ac:dyDescent="0.2">
      <c r="A5" s="28">
        <v>4</v>
      </c>
      <c r="B5" s="44">
        <v>126</v>
      </c>
      <c r="C5" s="97" t="s">
        <v>471</v>
      </c>
      <c r="D5" s="97" t="s">
        <v>472</v>
      </c>
      <c r="E5" s="97">
        <v>1</v>
      </c>
      <c r="F5" s="97" t="s">
        <v>16</v>
      </c>
      <c r="G5" s="44">
        <v>105</v>
      </c>
      <c r="H5" s="113">
        <v>739</v>
      </c>
      <c r="I5" s="113">
        <v>739</v>
      </c>
      <c r="J5" s="119">
        <f t="shared" si="0"/>
        <v>0</v>
      </c>
      <c r="K5" s="97">
        <v>427</v>
      </c>
      <c r="L5" s="97">
        <v>211.65</v>
      </c>
      <c r="M5" s="97" t="s">
        <v>473</v>
      </c>
      <c r="N5" s="91">
        <f t="shared" si="1"/>
        <v>369500</v>
      </c>
      <c r="O5" s="91">
        <f t="shared" si="2"/>
        <v>128100</v>
      </c>
      <c r="P5" s="91">
        <v>50000</v>
      </c>
      <c r="Q5" s="91">
        <f t="shared" si="3"/>
        <v>497600</v>
      </c>
      <c r="R5" s="44"/>
      <c r="S5" s="44"/>
    </row>
    <row r="6" spans="1:21" ht="17" x14ac:dyDescent="0.2">
      <c r="A6" s="28">
        <v>5</v>
      </c>
      <c r="B6" s="44">
        <v>127</v>
      </c>
      <c r="C6" s="97" t="s">
        <v>474</v>
      </c>
      <c r="D6" s="97" t="s">
        <v>475</v>
      </c>
      <c r="E6" s="97">
        <v>1</v>
      </c>
      <c r="F6" s="97" t="s">
        <v>16</v>
      </c>
      <c r="G6" s="44">
        <v>110</v>
      </c>
      <c r="H6" s="113">
        <v>523</v>
      </c>
      <c r="I6" s="113">
        <v>523</v>
      </c>
      <c r="J6" s="119">
        <f t="shared" si="0"/>
        <v>0</v>
      </c>
      <c r="K6" s="97">
        <v>195</v>
      </c>
      <c r="L6" s="97">
        <v>99.21</v>
      </c>
      <c r="M6" s="97" t="s">
        <v>476</v>
      </c>
      <c r="N6" s="91">
        <f t="shared" si="1"/>
        <v>261500</v>
      </c>
      <c r="O6" s="91">
        <f t="shared" si="2"/>
        <v>58500</v>
      </c>
      <c r="P6" s="91">
        <v>50000</v>
      </c>
      <c r="Q6" s="91">
        <f t="shared" si="3"/>
        <v>320000</v>
      </c>
      <c r="R6" s="44"/>
      <c r="S6" s="44"/>
    </row>
    <row r="7" spans="1:21" ht="17" x14ac:dyDescent="0.2">
      <c r="A7" s="28">
        <v>6</v>
      </c>
      <c r="B7" s="44">
        <v>128</v>
      </c>
      <c r="C7" s="97" t="s">
        <v>477</v>
      </c>
      <c r="D7" s="97" t="s">
        <v>478</v>
      </c>
      <c r="E7" s="97">
        <v>1</v>
      </c>
      <c r="F7" s="97" t="s">
        <v>16</v>
      </c>
      <c r="G7" s="44">
        <v>112</v>
      </c>
      <c r="H7" s="113">
        <v>600</v>
      </c>
      <c r="I7" s="113">
        <v>600</v>
      </c>
      <c r="J7" s="119">
        <f t="shared" si="0"/>
        <v>0</v>
      </c>
      <c r="K7" s="97">
        <v>391</v>
      </c>
      <c r="L7" s="97">
        <v>174.5</v>
      </c>
      <c r="M7" s="97" t="s">
        <v>479</v>
      </c>
      <c r="N7" s="91">
        <f t="shared" si="1"/>
        <v>360000</v>
      </c>
      <c r="O7" s="91">
        <f t="shared" si="2"/>
        <v>117300</v>
      </c>
      <c r="P7" s="91">
        <v>60000</v>
      </c>
      <c r="Q7" s="91">
        <f t="shared" si="3"/>
        <v>477300</v>
      </c>
      <c r="R7" s="44"/>
      <c r="S7" s="44"/>
    </row>
    <row r="8" spans="1:21" ht="17" x14ac:dyDescent="0.2">
      <c r="A8" s="28">
        <v>7</v>
      </c>
      <c r="B8" s="44">
        <v>129</v>
      </c>
      <c r="C8" s="97" t="s">
        <v>480</v>
      </c>
      <c r="D8" s="97" t="s">
        <v>481</v>
      </c>
      <c r="E8" s="97">
        <v>1</v>
      </c>
      <c r="F8" s="97" t="s">
        <v>16</v>
      </c>
      <c r="G8" s="44">
        <v>116</v>
      </c>
      <c r="H8" s="113">
        <v>600</v>
      </c>
      <c r="I8" s="97">
        <v>575</v>
      </c>
      <c r="J8" s="119">
        <f t="shared" si="0"/>
        <v>-25</v>
      </c>
      <c r="K8" s="97">
        <v>332</v>
      </c>
      <c r="L8" s="97">
        <v>132.63999999999999</v>
      </c>
      <c r="M8" s="97" t="s">
        <v>482</v>
      </c>
      <c r="N8" s="91">
        <f t="shared" si="1"/>
        <v>345000</v>
      </c>
      <c r="O8" s="91">
        <f t="shared" si="2"/>
        <v>99600</v>
      </c>
      <c r="P8" s="91">
        <v>60000</v>
      </c>
      <c r="Q8" s="91">
        <f t="shared" si="3"/>
        <v>444600</v>
      </c>
      <c r="R8" s="44"/>
      <c r="S8" s="44"/>
    </row>
    <row r="9" spans="1:21" ht="17" x14ac:dyDescent="0.2">
      <c r="A9" s="28">
        <v>8</v>
      </c>
      <c r="B9" s="44">
        <v>130</v>
      </c>
      <c r="C9" s="97" t="s">
        <v>483</v>
      </c>
      <c r="D9" s="97" t="s">
        <v>484</v>
      </c>
      <c r="E9" s="97">
        <v>1</v>
      </c>
      <c r="F9" s="97" t="s">
        <v>16</v>
      </c>
      <c r="G9" s="44" t="s">
        <v>485</v>
      </c>
      <c r="H9" s="113">
        <v>1387</v>
      </c>
      <c r="I9" s="97">
        <v>794</v>
      </c>
      <c r="J9" s="119">
        <f t="shared" si="0"/>
        <v>-593</v>
      </c>
      <c r="K9" s="97">
        <v>421</v>
      </c>
      <c r="L9" s="97">
        <v>109.27</v>
      </c>
      <c r="M9" s="97" t="s">
        <v>486</v>
      </c>
      <c r="N9" s="91">
        <f t="shared" si="1"/>
        <v>397000</v>
      </c>
      <c r="O9" s="91">
        <f t="shared" si="2"/>
        <v>126300</v>
      </c>
      <c r="P9" s="91">
        <v>50000</v>
      </c>
      <c r="Q9" s="91">
        <f t="shared" si="3"/>
        <v>523300</v>
      </c>
      <c r="R9" s="44"/>
      <c r="S9" s="44"/>
    </row>
    <row r="10" spans="1:21" ht="17" x14ac:dyDescent="0.2">
      <c r="A10" s="28">
        <v>9</v>
      </c>
      <c r="B10" s="44">
        <v>131</v>
      </c>
      <c r="C10" s="97" t="s">
        <v>487</v>
      </c>
      <c r="D10" s="97" t="s">
        <v>488</v>
      </c>
      <c r="E10" s="97">
        <v>1</v>
      </c>
      <c r="F10" s="97" t="s">
        <v>16</v>
      </c>
      <c r="G10" s="44">
        <v>114</v>
      </c>
      <c r="H10" s="113">
        <v>1387</v>
      </c>
      <c r="I10" s="97">
        <v>586</v>
      </c>
      <c r="J10" s="119">
        <f t="shared" si="0"/>
        <v>-801</v>
      </c>
      <c r="K10" s="97">
        <v>234</v>
      </c>
      <c r="L10" s="97">
        <v>98.78</v>
      </c>
      <c r="M10" s="97" t="s">
        <v>489</v>
      </c>
      <c r="N10" s="91">
        <f t="shared" si="1"/>
        <v>293000</v>
      </c>
      <c r="O10" s="91">
        <f t="shared" si="2"/>
        <v>70200</v>
      </c>
      <c r="P10" s="91">
        <v>50000</v>
      </c>
      <c r="Q10" s="91">
        <f t="shared" si="3"/>
        <v>363200</v>
      </c>
      <c r="R10" s="44"/>
      <c r="S10" s="44"/>
    </row>
    <row r="11" spans="1:21" ht="17" x14ac:dyDescent="0.2">
      <c r="A11" s="28">
        <v>10</v>
      </c>
      <c r="B11" s="44">
        <v>132</v>
      </c>
      <c r="C11" s="97" t="s">
        <v>490</v>
      </c>
      <c r="D11" s="97" t="s">
        <v>491</v>
      </c>
      <c r="E11" s="97">
        <v>1</v>
      </c>
      <c r="F11" s="97" t="s">
        <v>16</v>
      </c>
      <c r="G11" s="44" t="s">
        <v>492</v>
      </c>
      <c r="H11" s="113">
        <v>600</v>
      </c>
      <c r="I11" s="113">
        <v>600</v>
      </c>
      <c r="J11" s="119">
        <f t="shared" si="0"/>
        <v>0</v>
      </c>
      <c r="K11" s="97">
        <v>460</v>
      </c>
      <c r="L11" s="97">
        <v>198.34</v>
      </c>
      <c r="M11" s="97" t="s">
        <v>493</v>
      </c>
      <c r="N11" s="91">
        <f t="shared" si="1"/>
        <v>390000</v>
      </c>
      <c r="O11" s="91">
        <f t="shared" si="2"/>
        <v>138000</v>
      </c>
      <c r="P11" s="91">
        <v>65000</v>
      </c>
      <c r="Q11" s="91">
        <f t="shared" si="3"/>
        <v>528000</v>
      </c>
      <c r="R11" s="44"/>
      <c r="S11" s="44"/>
    </row>
    <row r="12" spans="1:21" ht="17" x14ac:dyDescent="0.2">
      <c r="A12" s="28">
        <v>11</v>
      </c>
      <c r="B12" s="44">
        <v>133</v>
      </c>
      <c r="C12" s="97" t="s">
        <v>494</v>
      </c>
      <c r="D12" s="97" t="s">
        <v>495</v>
      </c>
      <c r="E12" s="97">
        <v>1</v>
      </c>
      <c r="F12" s="97" t="s">
        <v>16</v>
      </c>
      <c r="G12" s="44">
        <v>4</v>
      </c>
      <c r="H12" s="113">
        <v>1037</v>
      </c>
      <c r="I12" s="113">
        <v>1037</v>
      </c>
      <c r="J12" s="119">
        <f t="shared" si="0"/>
        <v>0</v>
      </c>
      <c r="K12" s="97">
        <v>494</v>
      </c>
      <c r="L12" s="97">
        <v>180.1</v>
      </c>
      <c r="M12" s="97" t="s">
        <v>496</v>
      </c>
      <c r="N12" s="91">
        <f t="shared" si="1"/>
        <v>622200</v>
      </c>
      <c r="O12" s="91">
        <f t="shared" si="2"/>
        <v>148200</v>
      </c>
      <c r="P12" s="91">
        <v>60000</v>
      </c>
      <c r="Q12" s="91">
        <f t="shared" si="3"/>
        <v>770400</v>
      </c>
      <c r="R12" s="44"/>
      <c r="S12" s="44"/>
    </row>
    <row r="13" spans="1:21" s="120" customFormat="1" ht="17" x14ac:dyDescent="0.2">
      <c r="A13" s="28">
        <v>12</v>
      </c>
      <c r="B13" s="116">
        <v>134</v>
      </c>
      <c r="C13" s="60" t="s">
        <v>510</v>
      </c>
      <c r="D13" s="60" t="s">
        <v>512</v>
      </c>
      <c r="E13" s="97">
        <v>1</v>
      </c>
      <c r="F13" s="44" t="s">
        <v>511</v>
      </c>
      <c r="G13" s="60"/>
      <c r="H13" s="63">
        <v>1150</v>
      </c>
      <c r="I13" s="114">
        <f t="shared" ref="I13" si="4">H13/100</f>
        <v>11.5</v>
      </c>
      <c r="J13" s="114"/>
      <c r="K13" s="63"/>
      <c r="L13" s="65"/>
      <c r="M13" s="60" t="s">
        <v>614</v>
      </c>
      <c r="N13" s="61"/>
      <c r="O13" s="61"/>
      <c r="P13" s="61"/>
      <c r="Q13" s="91">
        <f>H13*1000</f>
        <v>1150000</v>
      </c>
      <c r="R13" s="61"/>
      <c r="S13" s="61"/>
    </row>
    <row r="14" spans="1:21" s="122" customFormat="1" ht="18" x14ac:dyDescent="0.2">
      <c r="A14" s="3"/>
      <c r="B14" s="3"/>
      <c r="C14" s="3" t="s">
        <v>618</v>
      </c>
      <c r="D14" s="3"/>
      <c r="E14" s="3">
        <f>E13</f>
        <v>1</v>
      </c>
      <c r="F14" s="4"/>
      <c r="G14" s="3"/>
      <c r="H14" s="127">
        <f>SUM(H2:H13)</f>
        <v>11372</v>
      </c>
      <c r="I14" s="127">
        <f>SUM(I2:I13)</f>
        <v>8814.5</v>
      </c>
      <c r="J14" s="127">
        <f>SUM(J2:J13)</f>
        <v>-1419</v>
      </c>
      <c r="K14" s="127">
        <f>SUM(K2:K13)</f>
        <v>4014</v>
      </c>
      <c r="L14" s="127">
        <f>SUM(L2:L13)</f>
        <v>1765.5899999999997</v>
      </c>
      <c r="M14" s="4"/>
      <c r="N14" s="128"/>
      <c r="O14" s="128"/>
      <c r="P14" s="128"/>
      <c r="Q14" s="128">
        <f>SUM(Q2:Q13)</f>
        <v>7332800</v>
      </c>
      <c r="R14" s="3">
        <v>136</v>
      </c>
      <c r="S14" s="128">
        <f>Q14/R14</f>
        <v>53917.647058823532</v>
      </c>
      <c r="T14" s="140">
        <v>100000</v>
      </c>
      <c r="U14" s="140">
        <f>R14*T14</f>
        <v>13600000</v>
      </c>
    </row>
    <row r="15" spans="1:21" s="122" customFormat="1" ht="18" x14ac:dyDescent="0.2">
      <c r="A15" s="3"/>
      <c r="B15" s="3"/>
      <c r="C15" s="3"/>
      <c r="D15" s="3"/>
      <c r="E15" s="3"/>
      <c r="F15" s="4"/>
      <c r="G15" s="3"/>
      <c r="H15" s="127"/>
      <c r="I15" s="127"/>
      <c r="J15" s="127"/>
      <c r="K15" s="127"/>
      <c r="L15" s="127"/>
      <c r="M15" s="4"/>
      <c r="N15" s="128"/>
      <c r="O15" s="128"/>
      <c r="P15" s="128"/>
      <c r="Q15" s="128"/>
      <c r="R15" s="3"/>
      <c r="S15" s="128"/>
      <c r="T15" s="140">
        <v>70000</v>
      </c>
      <c r="U15" s="140">
        <f t="shared" ref="U15:U78" si="5">R15*T15</f>
        <v>0</v>
      </c>
    </row>
    <row r="16" spans="1:21" ht="18" x14ac:dyDescent="0.2">
      <c r="A16" s="28">
        <v>13</v>
      </c>
      <c r="B16" s="44">
        <v>115</v>
      </c>
      <c r="C16" s="97" t="s">
        <v>438</v>
      </c>
      <c r="D16" s="97" t="s">
        <v>439</v>
      </c>
      <c r="E16" s="97">
        <v>2</v>
      </c>
      <c r="F16" s="97" t="s">
        <v>16</v>
      </c>
      <c r="G16" s="44">
        <v>88</v>
      </c>
      <c r="H16" s="113">
        <v>600</v>
      </c>
      <c r="I16" s="97">
        <v>617</v>
      </c>
      <c r="J16" s="119">
        <f t="shared" ref="J16:J23" si="6">I16-H16</f>
        <v>17</v>
      </c>
      <c r="K16" s="97">
        <v>366</v>
      </c>
      <c r="L16" s="97">
        <v>209.7</v>
      </c>
      <c r="M16" s="97" t="s">
        <v>440</v>
      </c>
      <c r="N16" s="91">
        <f t="shared" ref="N16:N23" si="7">I16*P16/100</f>
        <v>308500</v>
      </c>
      <c r="O16" s="91">
        <f t="shared" ref="O16:O23" si="8">K16*300</f>
        <v>109800</v>
      </c>
      <c r="P16" s="91">
        <v>50000</v>
      </c>
      <c r="Q16" s="91">
        <f t="shared" ref="Q16:Q23" si="9">N16+O16</f>
        <v>418300</v>
      </c>
      <c r="R16" s="44"/>
      <c r="S16" s="128"/>
      <c r="T16" s="140">
        <v>70000</v>
      </c>
      <c r="U16" s="140">
        <f t="shared" si="5"/>
        <v>0</v>
      </c>
    </row>
    <row r="17" spans="1:21" ht="18" x14ac:dyDescent="0.2">
      <c r="A17" s="28">
        <v>14</v>
      </c>
      <c r="B17" s="44">
        <v>116</v>
      </c>
      <c r="C17" s="97" t="s">
        <v>441</v>
      </c>
      <c r="D17" s="97" t="s">
        <v>442</v>
      </c>
      <c r="E17" s="97">
        <v>2</v>
      </c>
      <c r="F17" s="97" t="s">
        <v>363</v>
      </c>
      <c r="G17" s="44" t="s">
        <v>443</v>
      </c>
      <c r="H17" s="113">
        <v>600</v>
      </c>
      <c r="I17" s="97">
        <v>608</v>
      </c>
      <c r="J17" s="119">
        <f t="shared" si="6"/>
        <v>8</v>
      </c>
      <c r="K17" s="97">
        <v>280</v>
      </c>
      <c r="L17" s="97">
        <v>108.02</v>
      </c>
      <c r="M17" s="97" t="s">
        <v>444</v>
      </c>
      <c r="N17" s="91">
        <f t="shared" si="7"/>
        <v>304000</v>
      </c>
      <c r="O17" s="91">
        <f t="shared" si="8"/>
        <v>84000</v>
      </c>
      <c r="P17" s="91">
        <v>50000</v>
      </c>
      <c r="Q17" s="91">
        <f t="shared" si="9"/>
        <v>388000</v>
      </c>
      <c r="R17" s="44"/>
      <c r="S17" s="128"/>
      <c r="T17" s="140">
        <v>70000</v>
      </c>
      <c r="U17" s="140">
        <f t="shared" si="5"/>
        <v>0</v>
      </c>
    </row>
    <row r="18" spans="1:21" ht="18" x14ac:dyDescent="0.2">
      <c r="A18" s="28">
        <v>15</v>
      </c>
      <c r="B18" s="44">
        <v>117</v>
      </c>
      <c r="C18" s="97" t="s">
        <v>445</v>
      </c>
      <c r="D18" s="97" t="s">
        <v>446</v>
      </c>
      <c r="E18" s="97">
        <v>2</v>
      </c>
      <c r="F18" s="97" t="s">
        <v>16</v>
      </c>
      <c r="G18" s="44">
        <v>92</v>
      </c>
      <c r="H18" s="113">
        <v>830</v>
      </c>
      <c r="I18" s="113">
        <v>830</v>
      </c>
      <c r="J18" s="119">
        <f t="shared" si="6"/>
        <v>0</v>
      </c>
      <c r="K18" s="97">
        <v>359</v>
      </c>
      <c r="L18" s="97">
        <v>298.2</v>
      </c>
      <c r="M18" s="97" t="s">
        <v>123</v>
      </c>
      <c r="N18" s="91">
        <f t="shared" si="7"/>
        <v>415000</v>
      </c>
      <c r="O18" s="91">
        <f t="shared" si="8"/>
        <v>107700</v>
      </c>
      <c r="P18" s="91">
        <v>50000</v>
      </c>
      <c r="Q18" s="91">
        <f t="shared" si="9"/>
        <v>522700</v>
      </c>
      <c r="R18" s="44"/>
      <c r="S18" s="128"/>
      <c r="T18" s="140">
        <v>70000</v>
      </c>
      <c r="U18" s="140">
        <f t="shared" si="5"/>
        <v>0</v>
      </c>
    </row>
    <row r="19" spans="1:21" ht="18" x14ac:dyDescent="0.2">
      <c r="A19" s="28">
        <v>16</v>
      </c>
      <c r="B19" s="44">
        <v>118</v>
      </c>
      <c r="C19" s="97" t="s">
        <v>447</v>
      </c>
      <c r="D19" s="97" t="s">
        <v>448</v>
      </c>
      <c r="E19" s="97">
        <v>2</v>
      </c>
      <c r="F19" s="97" t="s">
        <v>20</v>
      </c>
      <c r="G19" s="44">
        <v>98</v>
      </c>
      <c r="H19" s="113">
        <v>600</v>
      </c>
      <c r="I19" s="113">
        <v>600</v>
      </c>
      <c r="J19" s="119">
        <f t="shared" si="6"/>
        <v>0</v>
      </c>
      <c r="K19" s="97">
        <v>217</v>
      </c>
      <c r="L19" s="97">
        <v>148.38</v>
      </c>
      <c r="M19" s="97" t="s">
        <v>449</v>
      </c>
      <c r="N19" s="91">
        <f t="shared" si="7"/>
        <v>300000</v>
      </c>
      <c r="O19" s="91">
        <f t="shared" si="8"/>
        <v>65100</v>
      </c>
      <c r="P19" s="91">
        <v>50000</v>
      </c>
      <c r="Q19" s="91">
        <f t="shared" si="9"/>
        <v>365100</v>
      </c>
      <c r="R19" s="44"/>
      <c r="S19" s="128"/>
      <c r="T19" s="140">
        <v>70000</v>
      </c>
      <c r="U19" s="140">
        <f t="shared" si="5"/>
        <v>0</v>
      </c>
    </row>
    <row r="20" spans="1:21" ht="18" x14ac:dyDescent="0.2">
      <c r="A20" s="28">
        <v>17</v>
      </c>
      <c r="B20" s="44">
        <v>119</v>
      </c>
      <c r="C20" s="97" t="s">
        <v>450</v>
      </c>
      <c r="D20" s="97" t="s">
        <v>451</v>
      </c>
      <c r="E20" s="97">
        <v>2</v>
      </c>
      <c r="F20" s="97" t="s">
        <v>16</v>
      </c>
      <c r="G20" s="44">
        <v>99</v>
      </c>
      <c r="H20" s="113">
        <v>600</v>
      </c>
      <c r="I20" s="113">
        <v>600</v>
      </c>
      <c r="J20" s="119">
        <f t="shared" si="6"/>
        <v>0</v>
      </c>
      <c r="K20" s="97">
        <v>365</v>
      </c>
      <c r="L20" s="97">
        <v>279.5</v>
      </c>
      <c r="M20" s="97" t="s">
        <v>452</v>
      </c>
      <c r="N20" s="91">
        <f t="shared" si="7"/>
        <v>300000</v>
      </c>
      <c r="O20" s="91">
        <f t="shared" si="8"/>
        <v>109500</v>
      </c>
      <c r="P20" s="91">
        <v>50000</v>
      </c>
      <c r="Q20" s="91">
        <f t="shared" si="9"/>
        <v>409500</v>
      </c>
      <c r="R20" s="44"/>
      <c r="S20" s="128"/>
      <c r="T20" s="140">
        <v>70000</v>
      </c>
      <c r="U20" s="140">
        <f t="shared" si="5"/>
        <v>0</v>
      </c>
    </row>
    <row r="21" spans="1:21" ht="18" x14ac:dyDescent="0.2">
      <c r="A21" s="28">
        <v>18</v>
      </c>
      <c r="B21" s="44">
        <v>120</v>
      </c>
      <c r="C21" s="97" t="s">
        <v>453</v>
      </c>
      <c r="D21" s="97" t="s">
        <v>454</v>
      </c>
      <c r="E21" s="97">
        <v>2</v>
      </c>
      <c r="F21" s="97" t="s">
        <v>16</v>
      </c>
      <c r="G21" s="44">
        <v>98</v>
      </c>
      <c r="H21" s="113">
        <v>600</v>
      </c>
      <c r="I21" s="113">
        <v>600</v>
      </c>
      <c r="J21" s="119">
        <f t="shared" si="6"/>
        <v>0</v>
      </c>
      <c r="K21" s="97">
        <v>249</v>
      </c>
      <c r="L21" s="97">
        <v>105.8</v>
      </c>
      <c r="M21" s="97" t="s">
        <v>455</v>
      </c>
      <c r="N21" s="91">
        <f t="shared" si="7"/>
        <v>300000</v>
      </c>
      <c r="O21" s="91">
        <f t="shared" si="8"/>
        <v>74700</v>
      </c>
      <c r="P21" s="91">
        <v>50000</v>
      </c>
      <c r="Q21" s="91">
        <f t="shared" si="9"/>
        <v>374700</v>
      </c>
      <c r="R21" s="44"/>
      <c r="S21" s="128"/>
      <c r="T21" s="140">
        <v>70000</v>
      </c>
      <c r="U21" s="140">
        <f t="shared" si="5"/>
        <v>0</v>
      </c>
    </row>
    <row r="22" spans="1:21" ht="18" x14ac:dyDescent="0.2">
      <c r="A22" s="28">
        <v>19</v>
      </c>
      <c r="B22" s="44">
        <v>121</v>
      </c>
      <c r="C22" s="97" t="s">
        <v>456</v>
      </c>
      <c r="D22" s="97" t="s">
        <v>457</v>
      </c>
      <c r="E22" s="97">
        <v>2</v>
      </c>
      <c r="F22" s="97" t="s">
        <v>16</v>
      </c>
      <c r="G22" s="44">
        <v>100</v>
      </c>
      <c r="H22" s="113">
        <v>600</v>
      </c>
      <c r="I22" s="113">
        <v>600</v>
      </c>
      <c r="J22" s="119">
        <f t="shared" si="6"/>
        <v>0</v>
      </c>
      <c r="K22" s="97">
        <v>349</v>
      </c>
      <c r="L22" s="97">
        <v>166.26</v>
      </c>
      <c r="M22" s="97" t="s">
        <v>458</v>
      </c>
      <c r="N22" s="91">
        <f t="shared" si="7"/>
        <v>300000</v>
      </c>
      <c r="O22" s="91">
        <f t="shared" si="8"/>
        <v>104700</v>
      </c>
      <c r="P22" s="91">
        <v>50000</v>
      </c>
      <c r="Q22" s="91">
        <f t="shared" si="9"/>
        <v>404700</v>
      </c>
      <c r="R22" s="44"/>
      <c r="S22" s="128"/>
      <c r="T22" s="140">
        <v>70000</v>
      </c>
      <c r="U22" s="140">
        <f t="shared" si="5"/>
        <v>0</v>
      </c>
    </row>
    <row r="23" spans="1:21" ht="18" x14ac:dyDescent="0.2">
      <c r="A23" s="28">
        <v>20</v>
      </c>
      <c r="B23" s="44">
        <v>122</v>
      </c>
      <c r="C23" s="97" t="s">
        <v>459</v>
      </c>
      <c r="D23" s="97" t="s">
        <v>460</v>
      </c>
      <c r="E23" s="97">
        <v>2</v>
      </c>
      <c r="F23" s="97" t="s">
        <v>16</v>
      </c>
      <c r="G23" s="44">
        <v>94</v>
      </c>
      <c r="H23" s="113">
        <v>566</v>
      </c>
      <c r="I23" s="113">
        <v>566</v>
      </c>
      <c r="J23" s="119">
        <f t="shared" si="6"/>
        <v>0</v>
      </c>
      <c r="K23" s="97">
        <v>245</v>
      </c>
      <c r="L23" s="97">
        <v>148.9</v>
      </c>
      <c r="M23" s="97" t="s">
        <v>461</v>
      </c>
      <c r="N23" s="91">
        <f t="shared" si="7"/>
        <v>283000</v>
      </c>
      <c r="O23" s="91">
        <f t="shared" si="8"/>
        <v>73500</v>
      </c>
      <c r="P23" s="91">
        <v>50000</v>
      </c>
      <c r="Q23" s="91">
        <f t="shared" si="9"/>
        <v>356500</v>
      </c>
      <c r="R23" s="44"/>
      <c r="S23" s="128"/>
      <c r="T23" s="140">
        <v>70000</v>
      </c>
      <c r="U23" s="140">
        <f t="shared" si="5"/>
        <v>0</v>
      </c>
    </row>
    <row r="24" spans="1:21" s="122" customFormat="1" ht="18" x14ac:dyDescent="0.2">
      <c r="A24" s="3"/>
      <c r="B24" s="3"/>
      <c r="C24" s="3" t="s">
        <v>618</v>
      </c>
      <c r="D24" s="3"/>
      <c r="E24" s="3">
        <f>E23</f>
        <v>2</v>
      </c>
      <c r="F24" s="4"/>
      <c r="G24" s="3"/>
      <c r="H24" s="127">
        <f>SUM(H16:H23)</f>
        <v>4996</v>
      </c>
      <c r="I24" s="127">
        <f t="shared" ref="I24:L24" si="10">SUM(I16:I23)</f>
        <v>5021</v>
      </c>
      <c r="J24" s="127">
        <f t="shared" si="10"/>
        <v>25</v>
      </c>
      <c r="K24" s="127">
        <f t="shared" si="10"/>
        <v>2430</v>
      </c>
      <c r="L24" s="127">
        <f t="shared" si="10"/>
        <v>1464.76</v>
      </c>
      <c r="M24" s="4"/>
      <c r="N24" s="128"/>
      <c r="O24" s="128"/>
      <c r="P24" s="128"/>
      <c r="Q24" s="128">
        <f>SUM(Q16:Q23)</f>
        <v>3239500</v>
      </c>
      <c r="R24" s="3">
        <v>50</v>
      </c>
      <c r="S24" s="128">
        <f t="shared" ref="S24:S67" si="11">Q24/R24</f>
        <v>64790</v>
      </c>
      <c r="T24" s="140">
        <v>70000</v>
      </c>
      <c r="U24" s="140">
        <f t="shared" si="5"/>
        <v>3500000</v>
      </c>
    </row>
    <row r="25" spans="1:21" s="122" customFormat="1" ht="18" x14ac:dyDescent="0.2">
      <c r="A25" s="3"/>
      <c r="B25" s="3"/>
      <c r="C25" s="3"/>
      <c r="D25" s="3"/>
      <c r="E25" s="3"/>
      <c r="F25" s="4"/>
      <c r="G25" s="3"/>
      <c r="H25" s="127"/>
      <c r="I25" s="127"/>
      <c r="J25" s="127"/>
      <c r="K25" s="127"/>
      <c r="L25" s="127"/>
      <c r="M25" s="4"/>
      <c r="N25" s="128"/>
      <c r="O25" s="128"/>
      <c r="P25" s="128"/>
      <c r="Q25" s="128"/>
      <c r="R25" s="3"/>
      <c r="S25" s="128"/>
      <c r="T25" s="140">
        <v>70000</v>
      </c>
      <c r="U25" s="140">
        <f t="shared" si="5"/>
        <v>0</v>
      </c>
    </row>
    <row r="26" spans="1:21" ht="18" x14ac:dyDescent="0.2">
      <c r="A26" s="28">
        <v>21</v>
      </c>
      <c r="B26" s="44">
        <v>42</v>
      </c>
      <c r="C26" s="97" t="s">
        <v>205</v>
      </c>
      <c r="D26" s="97" t="s">
        <v>206</v>
      </c>
      <c r="E26" s="97">
        <v>3</v>
      </c>
      <c r="F26" s="97" t="s">
        <v>16</v>
      </c>
      <c r="G26" s="44">
        <v>72</v>
      </c>
      <c r="H26" s="113">
        <v>725</v>
      </c>
      <c r="I26" s="113">
        <v>725</v>
      </c>
      <c r="J26" s="119">
        <f t="shared" ref="J26:J33" si="12">I26-H26</f>
        <v>0</v>
      </c>
      <c r="K26" s="97">
        <v>315</v>
      </c>
      <c r="L26" s="97">
        <v>65.34</v>
      </c>
      <c r="M26" s="97" t="s">
        <v>207</v>
      </c>
      <c r="N26" s="91">
        <f t="shared" ref="N26:N33" si="13">I26*P26/100</f>
        <v>362500</v>
      </c>
      <c r="O26" s="91">
        <f t="shared" ref="O26:O33" si="14">K26*300</f>
        <v>94500</v>
      </c>
      <c r="P26" s="91">
        <v>50000</v>
      </c>
      <c r="Q26" s="91">
        <f t="shared" ref="Q26:Q33" si="15">N26+O26</f>
        <v>457000</v>
      </c>
      <c r="R26" s="44"/>
      <c r="S26" s="128"/>
      <c r="T26" s="140">
        <v>70000</v>
      </c>
      <c r="U26" s="140">
        <f t="shared" si="5"/>
        <v>0</v>
      </c>
    </row>
    <row r="27" spans="1:21" ht="18" x14ac:dyDescent="0.2">
      <c r="A27" s="28">
        <v>22</v>
      </c>
      <c r="B27" s="44">
        <v>43</v>
      </c>
      <c r="C27" s="97" t="s">
        <v>208</v>
      </c>
      <c r="D27" s="97" t="s">
        <v>209</v>
      </c>
      <c r="E27" s="97">
        <v>3</v>
      </c>
      <c r="F27" s="97" t="s">
        <v>16</v>
      </c>
      <c r="G27" s="44" t="s">
        <v>210</v>
      </c>
      <c r="H27" s="113">
        <v>217</v>
      </c>
      <c r="I27" s="113">
        <v>217</v>
      </c>
      <c r="J27" s="119">
        <f t="shared" si="12"/>
        <v>0</v>
      </c>
      <c r="K27" s="97">
        <v>150</v>
      </c>
      <c r="L27" s="97">
        <v>47.14</v>
      </c>
      <c r="M27" s="97" t="s">
        <v>211</v>
      </c>
      <c r="N27" s="91">
        <f t="shared" si="13"/>
        <v>108500</v>
      </c>
      <c r="O27" s="91">
        <f t="shared" si="14"/>
        <v>45000</v>
      </c>
      <c r="P27" s="91">
        <v>50000</v>
      </c>
      <c r="Q27" s="91">
        <f t="shared" si="15"/>
        <v>153500</v>
      </c>
      <c r="R27" s="44"/>
      <c r="S27" s="128"/>
      <c r="T27" s="140">
        <v>70000</v>
      </c>
      <c r="U27" s="140">
        <f t="shared" si="5"/>
        <v>0</v>
      </c>
    </row>
    <row r="28" spans="1:21" ht="18" x14ac:dyDescent="0.2">
      <c r="A28" s="28">
        <v>23</v>
      </c>
      <c r="B28" s="44">
        <v>109</v>
      </c>
      <c r="C28" s="97" t="s">
        <v>418</v>
      </c>
      <c r="D28" s="97" t="s">
        <v>419</v>
      </c>
      <c r="E28" s="97">
        <v>3</v>
      </c>
      <c r="F28" s="97" t="s">
        <v>16</v>
      </c>
      <c r="G28" s="44">
        <v>76</v>
      </c>
      <c r="H28" s="113">
        <v>600</v>
      </c>
      <c r="I28" s="113">
        <v>600</v>
      </c>
      <c r="J28" s="119">
        <f t="shared" si="12"/>
        <v>0</v>
      </c>
      <c r="K28" s="97">
        <v>102</v>
      </c>
      <c r="L28" s="97">
        <v>38.479999999999997</v>
      </c>
      <c r="M28" s="97" t="s">
        <v>420</v>
      </c>
      <c r="N28" s="91">
        <f t="shared" si="13"/>
        <v>300000</v>
      </c>
      <c r="O28" s="91">
        <f t="shared" si="14"/>
        <v>30600</v>
      </c>
      <c r="P28" s="91">
        <v>50000</v>
      </c>
      <c r="Q28" s="91">
        <f t="shared" si="15"/>
        <v>330600</v>
      </c>
      <c r="R28" s="44"/>
      <c r="S28" s="128"/>
      <c r="T28" s="140">
        <v>70000</v>
      </c>
      <c r="U28" s="140">
        <f t="shared" si="5"/>
        <v>0</v>
      </c>
    </row>
    <row r="29" spans="1:21" ht="18" x14ac:dyDescent="0.2">
      <c r="A29" s="28">
        <v>24</v>
      </c>
      <c r="B29" s="44">
        <v>110</v>
      </c>
      <c r="C29" s="97" t="s">
        <v>421</v>
      </c>
      <c r="D29" s="97" t="s">
        <v>422</v>
      </c>
      <c r="E29" s="97">
        <v>3</v>
      </c>
      <c r="F29" s="97" t="s">
        <v>16</v>
      </c>
      <c r="G29" s="44">
        <v>91</v>
      </c>
      <c r="H29" s="113">
        <v>588</v>
      </c>
      <c r="I29" s="113">
        <v>588</v>
      </c>
      <c r="J29" s="119">
        <f t="shared" si="12"/>
        <v>0</v>
      </c>
      <c r="K29" s="97">
        <v>301</v>
      </c>
      <c r="L29" s="97">
        <v>175.9</v>
      </c>
      <c r="M29" s="97" t="s">
        <v>423</v>
      </c>
      <c r="N29" s="91">
        <f t="shared" si="13"/>
        <v>294000</v>
      </c>
      <c r="O29" s="91">
        <f t="shared" si="14"/>
        <v>90300</v>
      </c>
      <c r="P29" s="91">
        <v>50000</v>
      </c>
      <c r="Q29" s="91">
        <f t="shared" si="15"/>
        <v>384300</v>
      </c>
      <c r="R29" s="44"/>
      <c r="S29" s="128"/>
      <c r="T29" s="140">
        <v>70000</v>
      </c>
      <c r="U29" s="140">
        <f t="shared" si="5"/>
        <v>0</v>
      </c>
    </row>
    <row r="30" spans="1:21" ht="18" x14ac:dyDescent="0.2">
      <c r="A30" s="28">
        <v>25</v>
      </c>
      <c r="B30" s="44">
        <v>111</v>
      </c>
      <c r="C30" s="97" t="s">
        <v>424</v>
      </c>
      <c r="D30" s="97" t="s">
        <v>425</v>
      </c>
      <c r="E30" s="97">
        <v>3</v>
      </c>
      <c r="F30" s="97" t="s">
        <v>20</v>
      </c>
      <c r="G30" s="44">
        <v>90</v>
      </c>
      <c r="H30" s="113">
        <v>600</v>
      </c>
      <c r="I30" s="97">
        <v>651</v>
      </c>
      <c r="J30" s="119">
        <f t="shared" si="12"/>
        <v>51</v>
      </c>
      <c r="K30" s="97">
        <v>290</v>
      </c>
      <c r="L30" s="97">
        <v>137.69999999999999</v>
      </c>
      <c r="M30" s="97" t="s">
        <v>426</v>
      </c>
      <c r="N30" s="91">
        <f t="shared" si="13"/>
        <v>325500</v>
      </c>
      <c r="O30" s="91">
        <f t="shared" si="14"/>
        <v>87000</v>
      </c>
      <c r="P30" s="91">
        <v>50000</v>
      </c>
      <c r="Q30" s="91">
        <f t="shared" si="15"/>
        <v>412500</v>
      </c>
      <c r="R30" s="44"/>
      <c r="S30" s="128"/>
      <c r="T30" s="140">
        <v>70000</v>
      </c>
      <c r="U30" s="140">
        <f t="shared" si="5"/>
        <v>0</v>
      </c>
    </row>
    <row r="31" spans="1:21" ht="18" x14ac:dyDescent="0.2">
      <c r="A31" s="28">
        <v>26</v>
      </c>
      <c r="B31" s="44">
        <v>112</v>
      </c>
      <c r="C31" s="97" t="s">
        <v>427</v>
      </c>
      <c r="D31" s="97" t="s">
        <v>428</v>
      </c>
      <c r="E31" s="97">
        <v>3</v>
      </c>
      <c r="F31" s="97" t="s">
        <v>16</v>
      </c>
      <c r="G31" s="44" t="s">
        <v>429</v>
      </c>
      <c r="H31" s="113">
        <v>600</v>
      </c>
      <c r="I31" s="113">
        <v>600</v>
      </c>
      <c r="J31" s="119">
        <f t="shared" si="12"/>
        <v>0</v>
      </c>
      <c r="K31" s="97">
        <v>129</v>
      </c>
      <c r="L31" s="97">
        <v>62.85</v>
      </c>
      <c r="M31" s="97" t="s">
        <v>430</v>
      </c>
      <c r="N31" s="91">
        <f t="shared" si="13"/>
        <v>300000</v>
      </c>
      <c r="O31" s="91">
        <f t="shared" si="14"/>
        <v>38700</v>
      </c>
      <c r="P31" s="91">
        <v>50000</v>
      </c>
      <c r="Q31" s="91">
        <f t="shared" si="15"/>
        <v>338700</v>
      </c>
      <c r="R31" s="44"/>
      <c r="S31" s="128"/>
      <c r="T31" s="140">
        <v>70000</v>
      </c>
      <c r="U31" s="140">
        <f t="shared" si="5"/>
        <v>0</v>
      </c>
    </row>
    <row r="32" spans="1:21" ht="18" x14ac:dyDescent="0.2">
      <c r="A32" s="28">
        <v>27</v>
      </c>
      <c r="B32" s="44">
        <v>113</v>
      </c>
      <c r="C32" s="97" t="s">
        <v>431</v>
      </c>
      <c r="D32" s="97" t="s">
        <v>432</v>
      </c>
      <c r="E32" s="97">
        <v>3</v>
      </c>
      <c r="F32" s="97" t="s">
        <v>16</v>
      </c>
      <c r="G32" s="44">
        <v>86</v>
      </c>
      <c r="H32" s="113">
        <v>383</v>
      </c>
      <c r="I32" s="113">
        <v>383</v>
      </c>
      <c r="J32" s="119">
        <f t="shared" si="12"/>
        <v>0</v>
      </c>
      <c r="K32" s="97">
        <v>167</v>
      </c>
      <c r="L32" s="97">
        <v>62.86</v>
      </c>
      <c r="M32" s="97" t="s">
        <v>433</v>
      </c>
      <c r="N32" s="91">
        <f t="shared" si="13"/>
        <v>191500</v>
      </c>
      <c r="O32" s="91">
        <f t="shared" si="14"/>
        <v>50100</v>
      </c>
      <c r="P32" s="91">
        <v>50000</v>
      </c>
      <c r="Q32" s="91">
        <f t="shared" si="15"/>
        <v>241600</v>
      </c>
      <c r="R32" s="44"/>
      <c r="S32" s="128"/>
      <c r="T32" s="140">
        <v>70000</v>
      </c>
      <c r="U32" s="140">
        <f t="shared" si="5"/>
        <v>0</v>
      </c>
    </row>
    <row r="33" spans="1:21" ht="18" x14ac:dyDescent="0.2">
      <c r="A33" s="28">
        <v>28</v>
      </c>
      <c r="B33" s="44">
        <v>114</v>
      </c>
      <c r="C33" s="97" t="s">
        <v>434</v>
      </c>
      <c r="D33" s="97" t="s">
        <v>435</v>
      </c>
      <c r="E33" s="97">
        <v>3</v>
      </c>
      <c r="F33" s="97" t="s">
        <v>16</v>
      </c>
      <c r="G33" s="44" t="s">
        <v>436</v>
      </c>
      <c r="H33" s="113">
        <v>600</v>
      </c>
      <c r="I33" s="97">
        <v>595</v>
      </c>
      <c r="J33" s="119">
        <f t="shared" si="12"/>
        <v>-5</v>
      </c>
      <c r="K33" s="97">
        <v>291</v>
      </c>
      <c r="L33" s="97">
        <v>54</v>
      </c>
      <c r="M33" s="97" t="s">
        <v>437</v>
      </c>
      <c r="N33" s="91">
        <f t="shared" si="13"/>
        <v>297500</v>
      </c>
      <c r="O33" s="91">
        <f t="shared" si="14"/>
        <v>87300</v>
      </c>
      <c r="P33" s="91">
        <v>50000</v>
      </c>
      <c r="Q33" s="91">
        <f t="shared" si="15"/>
        <v>384800</v>
      </c>
      <c r="R33" s="44"/>
      <c r="S33" s="128"/>
      <c r="T33" s="140">
        <v>70000</v>
      </c>
      <c r="U33" s="140">
        <f t="shared" si="5"/>
        <v>0</v>
      </c>
    </row>
    <row r="34" spans="1:21" s="122" customFormat="1" ht="18" x14ac:dyDescent="0.2">
      <c r="A34" s="3"/>
      <c r="B34" s="3"/>
      <c r="C34" s="3" t="s">
        <v>618</v>
      </c>
      <c r="D34" s="3"/>
      <c r="E34" s="3">
        <f>E33</f>
        <v>3</v>
      </c>
      <c r="F34" s="4"/>
      <c r="G34" s="3"/>
      <c r="H34" s="127">
        <f>SUM(H26:H33)</f>
        <v>4313</v>
      </c>
      <c r="I34" s="127">
        <f t="shared" ref="I34:L34" si="16">SUM(I26:I33)</f>
        <v>4359</v>
      </c>
      <c r="J34" s="127">
        <f t="shared" si="16"/>
        <v>46</v>
      </c>
      <c r="K34" s="127">
        <f t="shared" si="16"/>
        <v>1745</v>
      </c>
      <c r="L34" s="127">
        <f t="shared" si="16"/>
        <v>644.27</v>
      </c>
      <c r="M34" s="4"/>
      <c r="N34" s="128"/>
      <c r="O34" s="128"/>
      <c r="P34" s="128"/>
      <c r="Q34" s="128">
        <f>SUM(Q26:Q33)</f>
        <v>2703000</v>
      </c>
      <c r="R34" s="3">
        <v>47</v>
      </c>
      <c r="S34" s="128">
        <f t="shared" si="11"/>
        <v>57510.638297872341</v>
      </c>
      <c r="T34" s="140">
        <v>70000</v>
      </c>
      <c r="U34" s="140">
        <f t="shared" si="5"/>
        <v>3290000</v>
      </c>
    </row>
    <row r="35" spans="1:21" s="122" customFormat="1" ht="18" x14ac:dyDescent="0.2">
      <c r="A35" s="3"/>
      <c r="B35" s="3"/>
      <c r="C35" s="3"/>
      <c r="D35" s="3"/>
      <c r="E35" s="3"/>
      <c r="F35" s="4"/>
      <c r="G35" s="3"/>
      <c r="H35" s="127"/>
      <c r="I35" s="127"/>
      <c r="J35" s="127"/>
      <c r="K35" s="127"/>
      <c r="L35" s="127"/>
      <c r="M35" s="4"/>
      <c r="N35" s="128"/>
      <c r="O35" s="128"/>
      <c r="P35" s="128"/>
      <c r="Q35" s="128"/>
      <c r="R35" s="3"/>
      <c r="S35" s="128"/>
      <c r="T35" s="140">
        <v>70000</v>
      </c>
      <c r="U35" s="140">
        <f t="shared" si="5"/>
        <v>0</v>
      </c>
    </row>
    <row r="36" spans="1:21" ht="18" x14ac:dyDescent="0.2">
      <c r="A36" s="28">
        <v>29</v>
      </c>
      <c r="B36" s="44">
        <v>25</v>
      </c>
      <c r="C36" s="97" t="s">
        <v>153</v>
      </c>
      <c r="D36" s="97" t="s">
        <v>154</v>
      </c>
      <c r="E36" s="97">
        <v>4</v>
      </c>
      <c r="F36" s="97" t="s">
        <v>16</v>
      </c>
      <c r="G36" s="44">
        <v>41</v>
      </c>
      <c r="H36" s="113">
        <v>600</v>
      </c>
      <c r="I36" s="113">
        <v>600</v>
      </c>
      <c r="J36" s="119">
        <f t="shared" ref="J36:J49" si="17">I36-H36</f>
        <v>0</v>
      </c>
      <c r="K36" s="97">
        <v>298</v>
      </c>
      <c r="L36" s="97">
        <v>83.78</v>
      </c>
      <c r="M36" s="97" t="s">
        <v>155</v>
      </c>
      <c r="N36" s="91">
        <f t="shared" ref="N36:N54" si="18">I36*P36/100</f>
        <v>300000</v>
      </c>
      <c r="O36" s="91">
        <f t="shared" ref="O36:O54" si="19">K36*300</f>
        <v>89400</v>
      </c>
      <c r="P36" s="91">
        <v>50000</v>
      </c>
      <c r="Q36" s="91">
        <f t="shared" ref="Q36:Q54" si="20">N36+O36</f>
        <v>389400</v>
      </c>
      <c r="R36" s="44"/>
      <c r="S36" s="128"/>
      <c r="T36" s="140">
        <v>70000</v>
      </c>
      <c r="U36" s="140">
        <f t="shared" si="5"/>
        <v>0</v>
      </c>
    </row>
    <row r="37" spans="1:21" ht="18" x14ac:dyDescent="0.2">
      <c r="A37" s="28">
        <v>30</v>
      </c>
      <c r="B37" s="44">
        <v>27</v>
      </c>
      <c r="C37" s="97" t="s">
        <v>159</v>
      </c>
      <c r="D37" s="97" t="s">
        <v>160</v>
      </c>
      <c r="E37" s="97">
        <v>4</v>
      </c>
      <c r="F37" s="97" t="s">
        <v>16</v>
      </c>
      <c r="G37" s="44">
        <v>64</v>
      </c>
      <c r="H37" s="113">
        <v>1290</v>
      </c>
      <c r="I37" s="113">
        <v>1290</v>
      </c>
      <c r="J37" s="119">
        <f t="shared" si="17"/>
        <v>0</v>
      </c>
      <c r="K37" s="97">
        <v>628</v>
      </c>
      <c r="L37" s="97">
        <v>223.55</v>
      </c>
      <c r="M37" s="97" t="s">
        <v>161</v>
      </c>
      <c r="N37" s="91">
        <f t="shared" si="18"/>
        <v>645000</v>
      </c>
      <c r="O37" s="91">
        <f t="shared" si="19"/>
        <v>188400</v>
      </c>
      <c r="P37" s="91">
        <v>50000</v>
      </c>
      <c r="Q37" s="91">
        <f t="shared" si="20"/>
        <v>833400</v>
      </c>
      <c r="R37" s="44"/>
      <c r="S37" s="128"/>
      <c r="T37" s="140">
        <v>70000</v>
      </c>
      <c r="U37" s="140">
        <f t="shared" si="5"/>
        <v>0</v>
      </c>
    </row>
    <row r="38" spans="1:21" ht="18" x14ac:dyDescent="0.2">
      <c r="A38" s="28">
        <v>31</v>
      </c>
      <c r="B38" s="44">
        <v>30</v>
      </c>
      <c r="C38" s="97" t="s">
        <v>170</v>
      </c>
      <c r="D38" s="97" t="s">
        <v>171</v>
      </c>
      <c r="E38" s="97">
        <v>4</v>
      </c>
      <c r="F38" s="97" t="s">
        <v>16</v>
      </c>
      <c r="G38" s="44" t="s">
        <v>172</v>
      </c>
      <c r="H38" s="113">
        <v>1100</v>
      </c>
      <c r="I38" s="97">
        <v>700</v>
      </c>
      <c r="J38" s="119">
        <f t="shared" si="17"/>
        <v>-400</v>
      </c>
      <c r="K38" s="97">
        <v>83.01</v>
      </c>
      <c r="L38" s="97">
        <v>83.01</v>
      </c>
      <c r="M38" s="97" t="s">
        <v>173</v>
      </c>
      <c r="N38" s="91">
        <f t="shared" si="18"/>
        <v>350000</v>
      </c>
      <c r="O38" s="91">
        <f t="shared" si="19"/>
        <v>24903</v>
      </c>
      <c r="P38" s="91">
        <v>50000</v>
      </c>
      <c r="Q38" s="91">
        <f t="shared" si="20"/>
        <v>374903</v>
      </c>
      <c r="R38" s="44"/>
      <c r="S38" s="128"/>
      <c r="T38" s="140">
        <v>70000</v>
      </c>
      <c r="U38" s="140">
        <f t="shared" si="5"/>
        <v>0</v>
      </c>
    </row>
    <row r="39" spans="1:21" ht="18" x14ac:dyDescent="0.2">
      <c r="A39" s="28">
        <v>32</v>
      </c>
      <c r="B39" s="44">
        <v>31</v>
      </c>
      <c r="C39" s="97" t="s">
        <v>174</v>
      </c>
      <c r="D39" s="97" t="s">
        <v>175</v>
      </c>
      <c r="E39" s="97">
        <v>4</v>
      </c>
      <c r="F39" s="97" t="s">
        <v>16</v>
      </c>
      <c r="G39" s="44">
        <v>14</v>
      </c>
      <c r="H39" s="113">
        <v>1100</v>
      </c>
      <c r="I39" s="97">
        <v>700</v>
      </c>
      <c r="J39" s="119">
        <f t="shared" si="17"/>
        <v>-400</v>
      </c>
      <c r="K39" s="97">
        <v>254</v>
      </c>
      <c r="L39" s="97">
        <v>31.98</v>
      </c>
      <c r="M39" s="97" t="s">
        <v>176</v>
      </c>
      <c r="N39" s="91">
        <f t="shared" si="18"/>
        <v>350000</v>
      </c>
      <c r="O39" s="91">
        <f t="shared" si="19"/>
        <v>76200</v>
      </c>
      <c r="P39" s="91">
        <v>50000</v>
      </c>
      <c r="Q39" s="91">
        <f t="shared" si="20"/>
        <v>426200</v>
      </c>
      <c r="R39" s="44"/>
      <c r="S39" s="128"/>
      <c r="T39" s="140">
        <v>70000</v>
      </c>
      <c r="U39" s="140">
        <f t="shared" si="5"/>
        <v>0</v>
      </c>
    </row>
    <row r="40" spans="1:21" ht="18" x14ac:dyDescent="0.2">
      <c r="A40" s="28">
        <v>33</v>
      </c>
      <c r="B40" s="44">
        <v>33</v>
      </c>
      <c r="C40" s="97" t="s">
        <v>179</v>
      </c>
      <c r="D40" s="97" t="s">
        <v>180</v>
      </c>
      <c r="E40" s="97">
        <v>4</v>
      </c>
      <c r="F40" s="97" t="s">
        <v>16</v>
      </c>
      <c r="G40" s="44">
        <v>18</v>
      </c>
      <c r="H40" s="113">
        <v>945</v>
      </c>
      <c r="I40" s="113">
        <v>945</v>
      </c>
      <c r="J40" s="119">
        <f t="shared" si="17"/>
        <v>0</v>
      </c>
      <c r="K40" s="97">
        <v>427</v>
      </c>
      <c r="L40" s="97">
        <v>172.53</v>
      </c>
      <c r="M40" s="97" t="s">
        <v>181</v>
      </c>
      <c r="N40" s="91">
        <f t="shared" si="18"/>
        <v>472500</v>
      </c>
      <c r="O40" s="91">
        <f t="shared" si="19"/>
        <v>128100</v>
      </c>
      <c r="P40" s="91">
        <v>50000</v>
      </c>
      <c r="Q40" s="91">
        <f t="shared" si="20"/>
        <v>600600</v>
      </c>
      <c r="R40" s="44"/>
      <c r="S40" s="128"/>
      <c r="T40" s="140">
        <v>70000</v>
      </c>
      <c r="U40" s="140">
        <f t="shared" si="5"/>
        <v>0</v>
      </c>
    </row>
    <row r="41" spans="1:21" ht="18" x14ac:dyDescent="0.2">
      <c r="A41" s="28">
        <v>34</v>
      </c>
      <c r="B41" s="44">
        <v>34</v>
      </c>
      <c r="C41" s="97" t="s">
        <v>182</v>
      </c>
      <c r="D41" s="97" t="s">
        <v>183</v>
      </c>
      <c r="E41" s="97">
        <v>4</v>
      </c>
      <c r="F41" s="97" t="s">
        <v>16</v>
      </c>
      <c r="G41" s="44">
        <v>54</v>
      </c>
      <c r="H41" s="113">
        <v>759</v>
      </c>
      <c r="I41" s="113">
        <v>759</v>
      </c>
      <c r="J41" s="119">
        <f t="shared" si="17"/>
        <v>0</v>
      </c>
      <c r="K41" s="97">
        <v>393</v>
      </c>
      <c r="L41" s="97">
        <v>231.38</v>
      </c>
      <c r="M41" s="97" t="s">
        <v>184</v>
      </c>
      <c r="N41" s="91">
        <f t="shared" si="18"/>
        <v>379500</v>
      </c>
      <c r="O41" s="91">
        <f t="shared" si="19"/>
        <v>117900</v>
      </c>
      <c r="P41" s="91">
        <v>50000</v>
      </c>
      <c r="Q41" s="91">
        <f t="shared" si="20"/>
        <v>497400</v>
      </c>
      <c r="R41" s="44"/>
      <c r="S41" s="128"/>
      <c r="T41" s="140">
        <v>70000</v>
      </c>
      <c r="U41" s="140">
        <f t="shared" si="5"/>
        <v>0</v>
      </c>
    </row>
    <row r="42" spans="1:21" ht="18" x14ac:dyDescent="0.2">
      <c r="A42" s="28">
        <v>35</v>
      </c>
      <c r="B42" s="44">
        <v>35</v>
      </c>
      <c r="C42" s="97" t="s">
        <v>185</v>
      </c>
      <c r="D42" s="97" t="s">
        <v>186</v>
      </c>
      <c r="E42" s="97">
        <v>4</v>
      </c>
      <c r="F42" s="97" t="s">
        <v>16</v>
      </c>
      <c r="G42" s="44">
        <v>52</v>
      </c>
      <c r="H42" s="113">
        <v>380</v>
      </c>
      <c r="I42" s="113">
        <v>380</v>
      </c>
      <c r="J42" s="119">
        <f t="shared" si="17"/>
        <v>0</v>
      </c>
      <c r="K42" s="97">
        <v>312</v>
      </c>
      <c r="L42" s="97">
        <v>62.81</v>
      </c>
      <c r="M42" s="97" t="s">
        <v>187</v>
      </c>
      <c r="N42" s="91">
        <f t="shared" si="18"/>
        <v>190000</v>
      </c>
      <c r="O42" s="91">
        <f t="shared" si="19"/>
        <v>93600</v>
      </c>
      <c r="P42" s="91">
        <v>50000</v>
      </c>
      <c r="Q42" s="91">
        <f t="shared" si="20"/>
        <v>283600</v>
      </c>
      <c r="R42" s="44"/>
      <c r="S42" s="128"/>
      <c r="T42" s="140">
        <v>70000</v>
      </c>
      <c r="U42" s="140">
        <f t="shared" si="5"/>
        <v>0</v>
      </c>
    </row>
    <row r="43" spans="1:21" ht="18" x14ac:dyDescent="0.2">
      <c r="A43" s="28">
        <v>36</v>
      </c>
      <c r="B43" s="44">
        <v>36</v>
      </c>
      <c r="C43" s="97" t="s">
        <v>188</v>
      </c>
      <c r="D43" s="97" t="s">
        <v>189</v>
      </c>
      <c r="E43" s="97">
        <v>4</v>
      </c>
      <c r="F43" s="97" t="s">
        <v>16</v>
      </c>
      <c r="G43" s="44">
        <v>70</v>
      </c>
      <c r="H43" s="113">
        <v>1140</v>
      </c>
      <c r="I43" s="97">
        <v>1700</v>
      </c>
      <c r="J43" s="119">
        <f t="shared" si="17"/>
        <v>560</v>
      </c>
      <c r="K43" s="97">
        <v>862</v>
      </c>
      <c r="L43" s="97">
        <v>382.5</v>
      </c>
      <c r="M43" s="97" t="s">
        <v>190</v>
      </c>
      <c r="N43" s="91">
        <f t="shared" si="18"/>
        <v>850000</v>
      </c>
      <c r="O43" s="91">
        <f t="shared" si="19"/>
        <v>258600</v>
      </c>
      <c r="P43" s="91">
        <v>50000</v>
      </c>
      <c r="Q43" s="91">
        <f t="shared" si="20"/>
        <v>1108600</v>
      </c>
      <c r="R43" s="44"/>
      <c r="S43" s="128"/>
      <c r="T43" s="140">
        <v>70000</v>
      </c>
      <c r="U43" s="140">
        <f t="shared" si="5"/>
        <v>0</v>
      </c>
    </row>
    <row r="44" spans="1:21" ht="18" x14ac:dyDescent="0.2">
      <c r="A44" s="28">
        <v>37</v>
      </c>
      <c r="B44" s="44">
        <v>37</v>
      </c>
      <c r="C44" s="97" t="s">
        <v>191</v>
      </c>
      <c r="D44" s="97" t="s">
        <v>192</v>
      </c>
      <c r="E44" s="97">
        <v>4</v>
      </c>
      <c r="F44" s="97" t="s">
        <v>16</v>
      </c>
      <c r="G44" s="44">
        <v>12</v>
      </c>
      <c r="H44" s="113">
        <v>700</v>
      </c>
      <c r="I44" s="113">
        <v>700</v>
      </c>
      <c r="J44" s="119">
        <f t="shared" si="17"/>
        <v>0</v>
      </c>
      <c r="K44" s="97">
        <v>269</v>
      </c>
      <c r="L44" s="97">
        <v>78.989999999999995</v>
      </c>
      <c r="M44" s="97" t="s">
        <v>193</v>
      </c>
      <c r="N44" s="91">
        <f t="shared" si="18"/>
        <v>350000</v>
      </c>
      <c r="O44" s="91">
        <f t="shared" si="19"/>
        <v>80700</v>
      </c>
      <c r="P44" s="91">
        <v>50000</v>
      </c>
      <c r="Q44" s="91">
        <f t="shared" si="20"/>
        <v>430700</v>
      </c>
      <c r="R44" s="44"/>
      <c r="S44" s="128"/>
      <c r="T44" s="140">
        <v>70000</v>
      </c>
      <c r="U44" s="140">
        <f t="shared" si="5"/>
        <v>0</v>
      </c>
    </row>
    <row r="45" spans="1:21" ht="18" x14ac:dyDescent="0.2">
      <c r="A45" s="28">
        <v>38</v>
      </c>
      <c r="B45" s="44">
        <v>38</v>
      </c>
      <c r="C45" s="97" t="s">
        <v>194</v>
      </c>
      <c r="D45" s="97" t="s">
        <v>195</v>
      </c>
      <c r="E45" s="97">
        <v>4</v>
      </c>
      <c r="F45" s="97" t="s">
        <v>16</v>
      </c>
      <c r="G45" s="44">
        <v>68</v>
      </c>
      <c r="H45" s="113">
        <v>593</v>
      </c>
      <c r="I45" s="113">
        <v>593</v>
      </c>
      <c r="J45" s="119">
        <f t="shared" si="17"/>
        <v>0</v>
      </c>
      <c r="K45" s="97">
        <v>354</v>
      </c>
      <c r="L45" s="97">
        <v>158.97999999999999</v>
      </c>
      <c r="M45" s="97" t="s">
        <v>196</v>
      </c>
      <c r="N45" s="91">
        <f t="shared" si="18"/>
        <v>296500</v>
      </c>
      <c r="O45" s="91">
        <f t="shared" si="19"/>
        <v>106200</v>
      </c>
      <c r="P45" s="91">
        <v>50000</v>
      </c>
      <c r="Q45" s="91">
        <f t="shared" si="20"/>
        <v>402700</v>
      </c>
      <c r="R45" s="44"/>
      <c r="S45" s="128"/>
      <c r="T45" s="140">
        <v>70000</v>
      </c>
      <c r="U45" s="140">
        <f t="shared" si="5"/>
        <v>0</v>
      </c>
    </row>
    <row r="46" spans="1:21" ht="18" x14ac:dyDescent="0.2">
      <c r="A46" s="28">
        <v>39</v>
      </c>
      <c r="B46" s="44">
        <v>39</v>
      </c>
      <c r="C46" s="97" t="s">
        <v>197</v>
      </c>
      <c r="D46" s="97" t="s">
        <v>198</v>
      </c>
      <c r="E46" s="97">
        <v>4</v>
      </c>
      <c r="F46" s="97" t="s">
        <v>16</v>
      </c>
      <c r="G46" s="44" t="s">
        <v>199</v>
      </c>
      <c r="H46" s="113">
        <v>772</v>
      </c>
      <c r="I46" s="113">
        <v>772</v>
      </c>
      <c r="J46" s="119">
        <f t="shared" si="17"/>
        <v>0</v>
      </c>
      <c r="K46" s="97">
        <v>285</v>
      </c>
      <c r="L46" s="97">
        <v>96.15</v>
      </c>
      <c r="M46" s="97" t="s">
        <v>200</v>
      </c>
      <c r="N46" s="91">
        <f t="shared" si="18"/>
        <v>386000</v>
      </c>
      <c r="O46" s="91">
        <f t="shared" si="19"/>
        <v>85500</v>
      </c>
      <c r="P46" s="91">
        <v>50000</v>
      </c>
      <c r="Q46" s="91">
        <f t="shared" si="20"/>
        <v>471500</v>
      </c>
      <c r="R46" s="44"/>
      <c r="S46" s="128"/>
      <c r="T46" s="140">
        <v>70000</v>
      </c>
      <c r="U46" s="140">
        <f t="shared" si="5"/>
        <v>0</v>
      </c>
    </row>
    <row r="47" spans="1:21" ht="18" x14ac:dyDescent="0.2">
      <c r="A47" s="28">
        <v>40</v>
      </c>
      <c r="B47" s="44">
        <v>40</v>
      </c>
      <c r="C47" s="97" t="s">
        <v>201</v>
      </c>
      <c r="D47" s="97" t="s">
        <v>202</v>
      </c>
      <c r="E47" s="97">
        <v>4</v>
      </c>
      <c r="F47" s="97" t="s">
        <v>16</v>
      </c>
      <c r="G47" s="44">
        <v>48</v>
      </c>
      <c r="H47" s="113">
        <v>500</v>
      </c>
      <c r="I47" s="97">
        <v>573</v>
      </c>
      <c r="J47" s="119">
        <f t="shared" si="17"/>
        <v>73</v>
      </c>
      <c r="K47" s="97">
        <v>261</v>
      </c>
      <c r="L47" s="97">
        <v>121.69</v>
      </c>
      <c r="M47" s="97" t="s">
        <v>158</v>
      </c>
      <c r="N47" s="91">
        <f t="shared" si="18"/>
        <v>286500</v>
      </c>
      <c r="O47" s="91">
        <f t="shared" si="19"/>
        <v>78300</v>
      </c>
      <c r="P47" s="91">
        <v>50000</v>
      </c>
      <c r="Q47" s="91">
        <f t="shared" si="20"/>
        <v>364800</v>
      </c>
      <c r="R47" s="44"/>
      <c r="S47" s="128"/>
      <c r="T47" s="140">
        <v>70000</v>
      </c>
      <c r="U47" s="140">
        <f t="shared" si="5"/>
        <v>0</v>
      </c>
    </row>
    <row r="48" spans="1:21" ht="18" x14ac:dyDescent="0.2">
      <c r="A48" s="28">
        <v>41</v>
      </c>
      <c r="B48" s="44">
        <v>41</v>
      </c>
      <c r="C48" s="97" t="s">
        <v>203</v>
      </c>
      <c r="D48" s="97" t="s">
        <v>204</v>
      </c>
      <c r="E48" s="97">
        <v>4</v>
      </c>
      <c r="F48" s="97" t="s">
        <v>16</v>
      </c>
      <c r="G48" s="44">
        <v>46</v>
      </c>
      <c r="H48" s="113">
        <v>723</v>
      </c>
      <c r="I48" s="113">
        <v>723</v>
      </c>
      <c r="J48" s="119">
        <f t="shared" si="17"/>
        <v>0</v>
      </c>
      <c r="K48" s="97">
        <v>340</v>
      </c>
      <c r="L48" s="97">
        <v>63.2</v>
      </c>
      <c r="M48" s="97" t="s">
        <v>200</v>
      </c>
      <c r="N48" s="91">
        <f t="shared" si="18"/>
        <v>433800</v>
      </c>
      <c r="O48" s="91">
        <f t="shared" si="19"/>
        <v>102000</v>
      </c>
      <c r="P48" s="91">
        <v>60000</v>
      </c>
      <c r="Q48" s="91">
        <f t="shared" si="20"/>
        <v>535800</v>
      </c>
      <c r="R48" s="44"/>
      <c r="S48" s="128"/>
      <c r="T48" s="140">
        <v>70000</v>
      </c>
      <c r="U48" s="140">
        <f t="shared" si="5"/>
        <v>0</v>
      </c>
    </row>
    <row r="49" spans="1:21" ht="18" x14ac:dyDescent="0.2">
      <c r="A49" s="28">
        <v>42</v>
      </c>
      <c r="B49" s="44">
        <v>44</v>
      </c>
      <c r="C49" s="97" t="s">
        <v>212</v>
      </c>
      <c r="D49" s="97" t="s">
        <v>213</v>
      </c>
      <c r="E49" s="97">
        <v>4</v>
      </c>
      <c r="F49" s="97" t="s">
        <v>16</v>
      </c>
      <c r="G49" s="44">
        <v>39</v>
      </c>
      <c r="H49" s="113">
        <v>600</v>
      </c>
      <c r="I49" s="97">
        <v>658</v>
      </c>
      <c r="J49" s="119">
        <f t="shared" si="17"/>
        <v>58</v>
      </c>
      <c r="K49" s="97">
        <v>271</v>
      </c>
      <c r="L49" s="97">
        <v>92.01</v>
      </c>
      <c r="M49" s="97" t="s">
        <v>214</v>
      </c>
      <c r="N49" s="91">
        <f t="shared" si="18"/>
        <v>329000</v>
      </c>
      <c r="O49" s="91">
        <f t="shared" si="19"/>
        <v>81300</v>
      </c>
      <c r="P49" s="91">
        <v>50000</v>
      </c>
      <c r="Q49" s="91">
        <f t="shared" si="20"/>
        <v>410300</v>
      </c>
      <c r="R49" s="44"/>
      <c r="S49" s="128"/>
      <c r="T49" s="140">
        <v>70000</v>
      </c>
      <c r="U49" s="140">
        <f t="shared" si="5"/>
        <v>0</v>
      </c>
    </row>
    <row r="50" spans="1:21" ht="18" x14ac:dyDescent="0.2">
      <c r="A50" s="28">
        <v>43</v>
      </c>
      <c r="B50" s="44">
        <v>45</v>
      </c>
      <c r="C50" s="97" t="s">
        <v>215</v>
      </c>
      <c r="D50" s="97" t="s">
        <v>216</v>
      </c>
      <c r="E50" s="97">
        <v>4</v>
      </c>
      <c r="F50" s="97" t="s">
        <v>16</v>
      </c>
      <c r="G50" s="44" t="s">
        <v>217</v>
      </c>
      <c r="H50" s="113">
        <v>1290</v>
      </c>
      <c r="I50" s="97">
        <v>414</v>
      </c>
      <c r="J50" s="119"/>
      <c r="K50" s="97">
        <v>230</v>
      </c>
      <c r="L50" s="97">
        <v>25.47</v>
      </c>
      <c r="M50" s="97" t="s">
        <v>218</v>
      </c>
      <c r="N50" s="91">
        <f t="shared" si="18"/>
        <v>207000</v>
      </c>
      <c r="O50" s="91">
        <f t="shared" si="19"/>
        <v>69000</v>
      </c>
      <c r="P50" s="91">
        <v>50000</v>
      </c>
      <c r="Q50" s="91">
        <f t="shared" si="20"/>
        <v>276000</v>
      </c>
      <c r="R50" s="44"/>
      <c r="S50" s="128"/>
      <c r="T50" s="140">
        <v>70000</v>
      </c>
      <c r="U50" s="140">
        <f t="shared" si="5"/>
        <v>0</v>
      </c>
    </row>
    <row r="51" spans="1:21" ht="18" x14ac:dyDescent="0.2">
      <c r="A51" s="28">
        <v>44</v>
      </c>
      <c r="B51" s="44">
        <v>46</v>
      </c>
      <c r="C51" s="97" t="s">
        <v>219</v>
      </c>
      <c r="D51" s="97" t="s">
        <v>220</v>
      </c>
      <c r="E51" s="97">
        <v>4</v>
      </c>
      <c r="F51" s="97" t="s">
        <v>16</v>
      </c>
      <c r="G51" s="44">
        <v>35</v>
      </c>
      <c r="H51" s="113">
        <v>1290</v>
      </c>
      <c r="I51" s="97">
        <v>876</v>
      </c>
      <c r="J51" s="119"/>
      <c r="K51" s="97">
        <v>228</v>
      </c>
      <c r="L51" s="97">
        <v>84.42</v>
      </c>
      <c r="M51" s="97" t="s">
        <v>218</v>
      </c>
      <c r="N51" s="91">
        <f t="shared" si="18"/>
        <v>438000</v>
      </c>
      <c r="O51" s="91">
        <f t="shared" si="19"/>
        <v>68400</v>
      </c>
      <c r="P51" s="91">
        <v>50000</v>
      </c>
      <c r="Q51" s="91">
        <f t="shared" si="20"/>
        <v>506400</v>
      </c>
      <c r="R51" s="44"/>
      <c r="S51" s="128"/>
      <c r="T51" s="140">
        <v>70000</v>
      </c>
      <c r="U51" s="140">
        <f t="shared" si="5"/>
        <v>0</v>
      </c>
    </row>
    <row r="52" spans="1:21" ht="18" x14ac:dyDescent="0.2">
      <c r="A52" s="28">
        <v>45</v>
      </c>
      <c r="B52" s="44">
        <v>47</v>
      </c>
      <c r="C52" s="97" t="s">
        <v>221</v>
      </c>
      <c r="D52" s="97" t="s">
        <v>222</v>
      </c>
      <c r="E52" s="97">
        <v>4</v>
      </c>
      <c r="F52" s="97" t="s">
        <v>16</v>
      </c>
      <c r="G52" s="44">
        <v>37</v>
      </c>
      <c r="H52" s="113">
        <v>634</v>
      </c>
      <c r="I52" s="113">
        <v>634</v>
      </c>
      <c r="J52" s="119">
        <f>I52-H52</f>
        <v>0</v>
      </c>
      <c r="K52" s="97">
        <v>353</v>
      </c>
      <c r="L52" s="97">
        <v>151.59</v>
      </c>
      <c r="M52" s="97" t="s">
        <v>223</v>
      </c>
      <c r="N52" s="91">
        <f t="shared" si="18"/>
        <v>317000</v>
      </c>
      <c r="O52" s="91">
        <f t="shared" si="19"/>
        <v>105900</v>
      </c>
      <c r="P52" s="91">
        <v>50000</v>
      </c>
      <c r="Q52" s="91">
        <f t="shared" si="20"/>
        <v>422900</v>
      </c>
      <c r="R52" s="44"/>
      <c r="S52" s="128"/>
      <c r="T52" s="140">
        <v>70000</v>
      </c>
      <c r="U52" s="140">
        <f t="shared" si="5"/>
        <v>0</v>
      </c>
    </row>
    <row r="53" spans="1:21" ht="18" x14ac:dyDescent="0.2">
      <c r="A53" s="28">
        <v>46</v>
      </c>
      <c r="B53" s="44">
        <v>48</v>
      </c>
      <c r="C53" s="97" t="s">
        <v>224</v>
      </c>
      <c r="D53" s="97" t="s">
        <v>225</v>
      </c>
      <c r="E53" s="97">
        <v>4</v>
      </c>
      <c r="F53" s="97" t="s">
        <v>16</v>
      </c>
      <c r="G53" s="44" t="s">
        <v>226</v>
      </c>
      <c r="H53" s="113">
        <v>1116</v>
      </c>
      <c r="I53" s="97">
        <v>1071</v>
      </c>
      <c r="J53" s="119">
        <f>I53-H53</f>
        <v>-45</v>
      </c>
      <c r="K53" s="97">
        <v>790</v>
      </c>
      <c r="L53" s="97">
        <v>284.8</v>
      </c>
      <c r="M53" s="97" t="s">
        <v>227</v>
      </c>
      <c r="N53" s="91">
        <f t="shared" si="18"/>
        <v>642600</v>
      </c>
      <c r="O53" s="91">
        <f t="shared" si="19"/>
        <v>237000</v>
      </c>
      <c r="P53" s="91">
        <v>60000</v>
      </c>
      <c r="Q53" s="91">
        <f t="shared" si="20"/>
        <v>879600</v>
      </c>
      <c r="R53" s="44"/>
      <c r="S53" s="128"/>
      <c r="T53" s="140">
        <v>70000</v>
      </c>
      <c r="U53" s="140">
        <f t="shared" si="5"/>
        <v>0</v>
      </c>
    </row>
    <row r="54" spans="1:21" ht="18" x14ac:dyDescent="0.2">
      <c r="A54" s="28">
        <v>47</v>
      </c>
      <c r="B54" s="44">
        <v>49</v>
      </c>
      <c r="C54" s="97" t="s">
        <v>228</v>
      </c>
      <c r="D54" s="97" t="s">
        <v>229</v>
      </c>
      <c r="E54" s="97">
        <v>4</v>
      </c>
      <c r="F54" s="97" t="s">
        <v>16</v>
      </c>
      <c r="G54" s="44" t="s">
        <v>230</v>
      </c>
      <c r="H54" s="113">
        <v>1000</v>
      </c>
      <c r="I54" s="97">
        <v>886</v>
      </c>
      <c r="J54" s="119">
        <f>I54-H54</f>
        <v>-114</v>
      </c>
      <c r="K54" s="97">
        <v>576</v>
      </c>
      <c r="L54" s="97">
        <v>194.04</v>
      </c>
      <c r="M54" s="97" t="s">
        <v>231</v>
      </c>
      <c r="N54" s="91">
        <f t="shared" si="18"/>
        <v>443000</v>
      </c>
      <c r="O54" s="91">
        <f t="shared" si="19"/>
        <v>172800</v>
      </c>
      <c r="P54" s="91">
        <v>50000</v>
      </c>
      <c r="Q54" s="91">
        <f t="shared" si="20"/>
        <v>615800</v>
      </c>
      <c r="R54" s="44"/>
      <c r="S54" s="128"/>
      <c r="T54" s="140">
        <v>70000</v>
      </c>
      <c r="U54" s="140">
        <f t="shared" si="5"/>
        <v>0</v>
      </c>
    </row>
    <row r="55" spans="1:21" s="122" customFormat="1" ht="18" x14ac:dyDescent="0.2">
      <c r="A55" s="3"/>
      <c r="B55" s="3"/>
      <c r="C55" s="3" t="s">
        <v>618</v>
      </c>
      <c r="D55" s="3"/>
      <c r="E55" s="3">
        <f>E54</f>
        <v>4</v>
      </c>
      <c r="F55" s="4"/>
      <c r="G55" s="3"/>
      <c r="H55" s="127">
        <f>SUM(H36:H54)</f>
        <v>16532</v>
      </c>
      <c r="I55" s="127">
        <f t="shared" ref="I55:L55" si="21">SUM(I36:I54)</f>
        <v>14974</v>
      </c>
      <c r="J55" s="127">
        <f t="shared" si="21"/>
        <v>-268</v>
      </c>
      <c r="K55" s="127">
        <f t="shared" si="21"/>
        <v>7214.01</v>
      </c>
      <c r="L55" s="127">
        <f t="shared" si="21"/>
        <v>2622.8800000000006</v>
      </c>
      <c r="M55" s="4"/>
      <c r="N55" s="128"/>
      <c r="O55" s="128"/>
      <c r="P55" s="128"/>
      <c r="Q55" s="128">
        <f>SUM(Q36:Q54)</f>
        <v>9830603</v>
      </c>
      <c r="R55" s="3">
        <v>130</v>
      </c>
      <c r="S55" s="128">
        <f t="shared" si="11"/>
        <v>75620.023076923084</v>
      </c>
      <c r="T55" s="140">
        <v>70000</v>
      </c>
      <c r="U55" s="140">
        <f t="shared" si="5"/>
        <v>9100000</v>
      </c>
    </row>
    <row r="56" spans="1:21" s="122" customFormat="1" ht="18" x14ac:dyDescent="0.2">
      <c r="A56" s="3"/>
      <c r="B56" s="3"/>
      <c r="C56" s="3"/>
      <c r="D56" s="3"/>
      <c r="E56" s="3"/>
      <c r="F56" s="4"/>
      <c r="G56" s="3"/>
      <c r="H56" s="127"/>
      <c r="I56" s="127"/>
      <c r="J56" s="127"/>
      <c r="K56" s="127"/>
      <c r="L56" s="127"/>
      <c r="M56" s="4"/>
      <c r="N56" s="128"/>
      <c r="O56" s="128"/>
      <c r="P56" s="128"/>
      <c r="Q56" s="128"/>
      <c r="R56" s="3"/>
      <c r="S56" s="128"/>
      <c r="T56" s="140">
        <v>70000</v>
      </c>
      <c r="U56" s="140">
        <f t="shared" si="5"/>
        <v>0</v>
      </c>
    </row>
    <row r="57" spans="1:21" ht="18" x14ac:dyDescent="0.2">
      <c r="A57" s="28">
        <v>48</v>
      </c>
      <c r="B57" s="44">
        <v>21</v>
      </c>
      <c r="C57" s="117" t="s">
        <v>140</v>
      </c>
      <c r="D57" s="117" t="s">
        <v>141</v>
      </c>
      <c r="E57" s="117">
        <v>5</v>
      </c>
      <c r="F57" s="97" t="s">
        <v>16</v>
      </c>
      <c r="G57" s="44">
        <v>49</v>
      </c>
      <c r="H57" s="113">
        <v>621</v>
      </c>
      <c r="I57" s="113">
        <v>621</v>
      </c>
      <c r="J57" s="119">
        <f t="shared" ref="J57:J62" si="22">I57-H57</f>
        <v>0</v>
      </c>
      <c r="K57" s="97">
        <v>424</v>
      </c>
      <c r="L57" s="97">
        <v>165.41</v>
      </c>
      <c r="M57" s="97" t="s">
        <v>142</v>
      </c>
      <c r="N57" s="91">
        <f t="shared" ref="N57:N62" si="23">I57*P57/100</f>
        <v>310500</v>
      </c>
      <c r="O57" s="91">
        <f t="shared" ref="O57:O62" si="24">K57*300</f>
        <v>127200</v>
      </c>
      <c r="P57" s="91">
        <v>50000</v>
      </c>
      <c r="Q57" s="91">
        <f t="shared" ref="Q57:Q62" si="25">N57+O57</f>
        <v>437700</v>
      </c>
      <c r="R57" s="44"/>
      <c r="S57" s="128"/>
      <c r="T57" s="140">
        <v>70000</v>
      </c>
      <c r="U57" s="140">
        <f t="shared" si="5"/>
        <v>0</v>
      </c>
    </row>
    <row r="58" spans="1:21" ht="18" x14ac:dyDescent="0.2">
      <c r="A58" s="28">
        <v>49</v>
      </c>
      <c r="B58" s="44">
        <v>24</v>
      </c>
      <c r="C58" s="97" t="s">
        <v>150</v>
      </c>
      <c r="D58" s="97" t="s">
        <v>151</v>
      </c>
      <c r="E58" s="97">
        <v>5</v>
      </c>
      <c r="F58" s="97" t="s">
        <v>16</v>
      </c>
      <c r="G58" s="44">
        <v>45</v>
      </c>
      <c r="H58" s="113">
        <v>1159</v>
      </c>
      <c r="I58" s="113">
        <v>1159</v>
      </c>
      <c r="J58" s="119">
        <f t="shared" si="22"/>
        <v>0</v>
      </c>
      <c r="K58" s="97">
        <v>147</v>
      </c>
      <c r="L58" s="97">
        <v>88</v>
      </c>
      <c r="M58" s="97" t="s">
        <v>152</v>
      </c>
      <c r="N58" s="91">
        <f t="shared" si="23"/>
        <v>579500</v>
      </c>
      <c r="O58" s="91">
        <f t="shared" si="24"/>
        <v>44100</v>
      </c>
      <c r="P58" s="91">
        <v>50000</v>
      </c>
      <c r="Q58" s="91">
        <f t="shared" si="25"/>
        <v>623600</v>
      </c>
      <c r="R58" s="44"/>
      <c r="S58" s="128"/>
      <c r="T58" s="140">
        <v>70000</v>
      </c>
      <c r="U58" s="140">
        <f t="shared" si="5"/>
        <v>0</v>
      </c>
    </row>
    <row r="59" spans="1:21" ht="18" x14ac:dyDescent="0.2">
      <c r="A59" s="28">
        <v>50</v>
      </c>
      <c r="B59" s="44">
        <v>26</v>
      </c>
      <c r="C59" s="97" t="s">
        <v>156</v>
      </c>
      <c r="D59" s="97" t="s">
        <v>157</v>
      </c>
      <c r="E59" s="97">
        <v>5</v>
      </c>
      <c r="F59" s="97" t="s">
        <v>16</v>
      </c>
      <c r="G59" s="44">
        <v>66</v>
      </c>
      <c r="H59" s="113">
        <v>970</v>
      </c>
      <c r="I59" s="97">
        <v>1203</v>
      </c>
      <c r="J59" s="119">
        <f t="shared" si="22"/>
        <v>233</v>
      </c>
      <c r="K59" s="97">
        <v>330</v>
      </c>
      <c r="L59" s="97">
        <v>195.23</v>
      </c>
      <c r="M59" s="97" t="s">
        <v>158</v>
      </c>
      <c r="N59" s="91">
        <f t="shared" si="23"/>
        <v>601500</v>
      </c>
      <c r="O59" s="91">
        <f t="shared" si="24"/>
        <v>99000</v>
      </c>
      <c r="P59" s="91">
        <v>50000</v>
      </c>
      <c r="Q59" s="91">
        <f t="shared" si="25"/>
        <v>700500</v>
      </c>
      <c r="R59" s="44"/>
      <c r="S59" s="128"/>
      <c r="T59" s="140">
        <v>70000</v>
      </c>
      <c r="U59" s="140">
        <f t="shared" si="5"/>
        <v>0</v>
      </c>
    </row>
    <row r="60" spans="1:21" ht="18" x14ac:dyDescent="0.2">
      <c r="A60" s="28">
        <v>51</v>
      </c>
      <c r="B60" s="44">
        <v>28</v>
      </c>
      <c r="C60" s="97" t="s">
        <v>162</v>
      </c>
      <c r="D60" s="97" t="s">
        <v>163</v>
      </c>
      <c r="E60" s="97">
        <v>5</v>
      </c>
      <c r="F60" s="97" t="s">
        <v>16</v>
      </c>
      <c r="G60" s="44" t="s">
        <v>164</v>
      </c>
      <c r="H60" s="113">
        <v>644</v>
      </c>
      <c r="I60" s="97">
        <v>644</v>
      </c>
      <c r="J60" s="119">
        <f t="shared" si="22"/>
        <v>0</v>
      </c>
      <c r="K60" s="97">
        <v>213</v>
      </c>
      <c r="L60" s="97">
        <v>70.739999999999995</v>
      </c>
      <c r="M60" s="97" t="s">
        <v>165</v>
      </c>
      <c r="N60" s="91">
        <f t="shared" si="23"/>
        <v>322000</v>
      </c>
      <c r="O60" s="91">
        <f t="shared" si="24"/>
        <v>63900</v>
      </c>
      <c r="P60" s="91">
        <v>50000</v>
      </c>
      <c r="Q60" s="91">
        <f t="shared" si="25"/>
        <v>385900</v>
      </c>
      <c r="R60" s="44"/>
      <c r="S60" s="128"/>
      <c r="T60" s="140">
        <v>70000</v>
      </c>
      <c r="U60" s="140">
        <f t="shared" si="5"/>
        <v>0</v>
      </c>
    </row>
    <row r="61" spans="1:21" ht="18" x14ac:dyDescent="0.2">
      <c r="A61" s="28">
        <v>52</v>
      </c>
      <c r="B61" s="44">
        <v>29</v>
      </c>
      <c r="C61" s="97" t="s">
        <v>166</v>
      </c>
      <c r="D61" s="97" t="s">
        <v>167</v>
      </c>
      <c r="E61" s="97">
        <v>5</v>
      </c>
      <c r="F61" s="97" t="s">
        <v>16</v>
      </c>
      <c r="G61" s="44" t="s">
        <v>168</v>
      </c>
      <c r="H61" s="113">
        <v>538</v>
      </c>
      <c r="I61" s="113">
        <v>538</v>
      </c>
      <c r="J61" s="119">
        <f t="shared" si="22"/>
        <v>0</v>
      </c>
      <c r="K61" s="97">
        <v>327</v>
      </c>
      <c r="L61" s="97">
        <v>123.76</v>
      </c>
      <c r="M61" s="97" t="s">
        <v>169</v>
      </c>
      <c r="N61" s="91">
        <f t="shared" si="23"/>
        <v>269000</v>
      </c>
      <c r="O61" s="91">
        <f t="shared" si="24"/>
        <v>98100</v>
      </c>
      <c r="P61" s="91">
        <v>50000</v>
      </c>
      <c r="Q61" s="91">
        <f t="shared" si="25"/>
        <v>367100</v>
      </c>
      <c r="R61" s="44"/>
      <c r="S61" s="128"/>
      <c r="T61" s="140">
        <v>70000</v>
      </c>
      <c r="U61" s="140">
        <f t="shared" si="5"/>
        <v>0</v>
      </c>
    </row>
    <row r="62" spans="1:21" ht="18" x14ac:dyDescent="0.2">
      <c r="A62" s="28">
        <v>53</v>
      </c>
      <c r="B62" s="44">
        <v>32</v>
      </c>
      <c r="C62" s="97" t="s">
        <v>177</v>
      </c>
      <c r="D62" s="97" t="s">
        <v>178</v>
      </c>
      <c r="E62" s="97">
        <v>5</v>
      </c>
      <c r="F62" s="97" t="s">
        <v>16</v>
      </c>
      <c r="G62" s="44">
        <v>60</v>
      </c>
      <c r="H62" s="113">
        <v>1299</v>
      </c>
      <c r="I62" s="119">
        <f>H62</f>
        <v>1299</v>
      </c>
      <c r="J62" s="119">
        <f t="shared" si="22"/>
        <v>0</v>
      </c>
      <c r="K62" s="97">
        <v>475</v>
      </c>
      <c r="L62" s="97">
        <v>169.5</v>
      </c>
      <c r="M62" s="97" t="s">
        <v>169</v>
      </c>
      <c r="N62" s="91">
        <f t="shared" si="23"/>
        <v>649500</v>
      </c>
      <c r="O62" s="91">
        <f t="shared" si="24"/>
        <v>142500</v>
      </c>
      <c r="P62" s="91">
        <v>50000</v>
      </c>
      <c r="Q62" s="91">
        <f t="shared" si="25"/>
        <v>792000</v>
      </c>
      <c r="R62" s="44"/>
      <c r="S62" s="128"/>
      <c r="T62" s="140">
        <v>70000</v>
      </c>
      <c r="U62" s="140">
        <f t="shared" si="5"/>
        <v>0</v>
      </c>
    </row>
    <row r="63" spans="1:21" s="122" customFormat="1" ht="18" x14ac:dyDescent="0.2">
      <c r="A63" s="3"/>
      <c r="B63" s="3"/>
      <c r="C63" s="3" t="s">
        <v>618</v>
      </c>
      <c r="D63" s="3"/>
      <c r="E63" s="3">
        <f>E62</f>
        <v>5</v>
      </c>
      <c r="F63" s="4"/>
      <c r="G63" s="3"/>
      <c r="H63" s="127">
        <f>SUM(H57:H62)</f>
        <v>5231</v>
      </c>
      <c r="I63" s="127">
        <f t="shared" ref="I63:L63" si="26">SUM(I57:I62)</f>
        <v>5464</v>
      </c>
      <c r="J63" s="127">
        <f t="shared" si="26"/>
        <v>233</v>
      </c>
      <c r="K63" s="127">
        <f t="shared" si="26"/>
        <v>1916</v>
      </c>
      <c r="L63" s="127">
        <f t="shared" si="26"/>
        <v>812.64</v>
      </c>
      <c r="M63" s="4"/>
      <c r="N63" s="128"/>
      <c r="O63" s="128"/>
      <c r="P63" s="128"/>
      <c r="Q63" s="128">
        <f>SUM(Q57:Q62)</f>
        <v>3306800</v>
      </c>
      <c r="R63" s="3">
        <v>38</v>
      </c>
      <c r="S63" s="128">
        <f t="shared" si="11"/>
        <v>87021.052631578947</v>
      </c>
      <c r="T63" s="140">
        <v>70000</v>
      </c>
      <c r="U63" s="140">
        <f t="shared" si="5"/>
        <v>2660000</v>
      </c>
    </row>
    <row r="64" spans="1:21" s="122" customFormat="1" ht="18" x14ac:dyDescent="0.2">
      <c r="A64" s="3"/>
      <c r="B64" s="3"/>
      <c r="C64" s="3"/>
      <c r="D64" s="3"/>
      <c r="E64" s="3"/>
      <c r="F64" s="4"/>
      <c r="G64" s="3"/>
      <c r="H64" s="127"/>
      <c r="I64" s="127"/>
      <c r="J64" s="127"/>
      <c r="K64" s="127"/>
      <c r="L64" s="127"/>
      <c r="M64" s="4"/>
      <c r="N64" s="128"/>
      <c r="O64" s="128"/>
      <c r="P64" s="128"/>
      <c r="Q64" s="128"/>
      <c r="R64" s="3"/>
      <c r="S64" s="128"/>
      <c r="T64" s="140">
        <v>70000</v>
      </c>
      <c r="U64" s="140">
        <f t="shared" si="5"/>
        <v>0</v>
      </c>
    </row>
    <row r="65" spans="1:21" ht="18" x14ac:dyDescent="0.2">
      <c r="A65" s="28">
        <v>54</v>
      </c>
      <c r="B65" s="44">
        <v>3</v>
      </c>
      <c r="C65" s="97" t="s">
        <v>84</v>
      </c>
      <c r="D65" s="97" t="s">
        <v>85</v>
      </c>
      <c r="E65" s="97">
        <v>6</v>
      </c>
      <c r="F65" s="97" t="s">
        <v>16</v>
      </c>
      <c r="G65" s="44" t="s">
        <v>86</v>
      </c>
      <c r="H65" s="113">
        <v>487</v>
      </c>
      <c r="I65" s="113">
        <v>487</v>
      </c>
      <c r="J65" s="119">
        <f>I65-H65</f>
        <v>0</v>
      </c>
      <c r="K65" s="97">
        <v>220</v>
      </c>
      <c r="L65" s="97">
        <v>36.4</v>
      </c>
      <c r="M65" s="97" t="s">
        <v>87</v>
      </c>
      <c r="N65" s="91">
        <f>I65*P65/100</f>
        <v>243500</v>
      </c>
      <c r="O65" s="91">
        <f>K65*300</f>
        <v>66000</v>
      </c>
      <c r="P65" s="91">
        <v>50000</v>
      </c>
      <c r="Q65" s="91">
        <f>N65+O65</f>
        <v>309500</v>
      </c>
      <c r="R65" s="44"/>
      <c r="S65" s="128"/>
      <c r="T65" s="140">
        <v>70000</v>
      </c>
      <c r="U65" s="140">
        <f t="shared" si="5"/>
        <v>0</v>
      </c>
    </row>
    <row r="66" spans="1:21" ht="18" x14ac:dyDescent="0.2">
      <c r="A66" s="28">
        <v>55</v>
      </c>
      <c r="B66" s="44">
        <v>23</v>
      </c>
      <c r="C66" s="97" t="s">
        <v>146</v>
      </c>
      <c r="D66" s="97" t="s">
        <v>147</v>
      </c>
      <c r="E66" s="97">
        <v>6</v>
      </c>
      <c r="F66" s="97" t="s">
        <v>16</v>
      </c>
      <c r="G66" s="44" t="s">
        <v>148</v>
      </c>
      <c r="H66" s="113">
        <v>344</v>
      </c>
      <c r="I66" s="113">
        <v>344</v>
      </c>
      <c r="J66" s="119">
        <f>I66-H66</f>
        <v>0</v>
      </c>
      <c r="K66" s="97">
        <v>216</v>
      </c>
      <c r="L66" s="97">
        <v>29.47</v>
      </c>
      <c r="M66" s="97" t="s">
        <v>149</v>
      </c>
      <c r="N66" s="91">
        <f>I66*P66/100</f>
        <v>172000</v>
      </c>
      <c r="O66" s="91">
        <f>K66*300</f>
        <v>64800</v>
      </c>
      <c r="P66" s="91">
        <v>50000</v>
      </c>
      <c r="Q66" s="91">
        <f>N66+O66</f>
        <v>236800</v>
      </c>
      <c r="R66" s="44"/>
      <c r="S66" s="128"/>
      <c r="T66" s="140">
        <v>70000</v>
      </c>
      <c r="U66" s="140">
        <f t="shared" si="5"/>
        <v>0</v>
      </c>
    </row>
    <row r="67" spans="1:21" s="122" customFormat="1" ht="18" x14ac:dyDescent="0.2">
      <c r="A67" s="3"/>
      <c r="B67" s="3"/>
      <c r="C67" s="3" t="s">
        <v>618</v>
      </c>
      <c r="D67" s="3"/>
      <c r="E67" s="3">
        <f>E66</f>
        <v>6</v>
      </c>
      <c r="F67" s="4"/>
      <c r="G67" s="3"/>
      <c r="H67" s="127">
        <f>SUM(H65:H66)</f>
        <v>831</v>
      </c>
      <c r="I67" s="127">
        <f t="shared" ref="I67:L67" si="27">SUM(I65:I66)</f>
        <v>831</v>
      </c>
      <c r="J67" s="127">
        <f t="shared" si="27"/>
        <v>0</v>
      </c>
      <c r="K67" s="127">
        <f t="shared" si="27"/>
        <v>436</v>
      </c>
      <c r="L67" s="127">
        <f t="shared" si="27"/>
        <v>65.87</v>
      </c>
      <c r="M67" s="4"/>
      <c r="N67" s="128"/>
      <c r="O67" s="128"/>
      <c r="P67" s="128"/>
      <c r="Q67" s="128">
        <f>SUM(Q65:Q66)</f>
        <v>546300</v>
      </c>
      <c r="R67" s="3">
        <v>100</v>
      </c>
      <c r="S67" s="128">
        <f t="shared" si="11"/>
        <v>5463</v>
      </c>
      <c r="T67" s="140">
        <v>70000</v>
      </c>
      <c r="U67" s="140">
        <f t="shared" si="5"/>
        <v>7000000</v>
      </c>
    </row>
    <row r="68" spans="1:21" s="122" customFormat="1" ht="18" x14ac:dyDescent="0.2">
      <c r="A68" s="3"/>
      <c r="B68" s="3"/>
      <c r="C68" s="3"/>
      <c r="D68" s="3"/>
      <c r="E68" s="3"/>
      <c r="F68" s="4"/>
      <c r="G68" s="3"/>
      <c r="H68" s="127"/>
      <c r="I68" s="127"/>
      <c r="J68" s="127"/>
      <c r="K68" s="127"/>
      <c r="L68" s="127"/>
      <c r="M68" s="4"/>
      <c r="N68" s="128"/>
      <c r="O68" s="128"/>
      <c r="P68" s="128"/>
      <c r="Q68" s="128"/>
      <c r="R68" s="3"/>
      <c r="S68" s="128"/>
      <c r="T68" s="140">
        <v>70000</v>
      </c>
      <c r="U68" s="140">
        <f t="shared" si="5"/>
        <v>0</v>
      </c>
    </row>
    <row r="69" spans="1:21" ht="18" x14ac:dyDescent="0.2">
      <c r="A69" s="28">
        <v>56</v>
      </c>
      <c r="B69" s="44">
        <v>11</v>
      </c>
      <c r="C69" s="97" t="s">
        <v>84</v>
      </c>
      <c r="D69" s="97" t="s">
        <v>110</v>
      </c>
      <c r="E69" s="97">
        <v>7</v>
      </c>
      <c r="F69" s="97" t="s">
        <v>16</v>
      </c>
      <c r="G69" s="44">
        <v>75</v>
      </c>
      <c r="H69" s="113">
        <v>888</v>
      </c>
      <c r="I69" s="113">
        <v>888</v>
      </c>
      <c r="J69" s="119">
        <f t="shared" ref="J69:J78" si="28">I69-H69</f>
        <v>0</v>
      </c>
      <c r="K69" s="97">
        <v>504</v>
      </c>
      <c r="L69" s="97">
        <v>228.01</v>
      </c>
      <c r="M69" s="97" t="s">
        <v>111</v>
      </c>
      <c r="N69" s="91">
        <f t="shared" ref="N69:N78" si="29">I69*P69/100</f>
        <v>444000</v>
      </c>
      <c r="O69" s="91">
        <f t="shared" ref="O69:O78" si="30">K69*300</f>
        <v>151200</v>
      </c>
      <c r="P69" s="91">
        <v>50000</v>
      </c>
      <c r="Q69" s="91">
        <f t="shared" ref="Q69:Q78" si="31">N69+O69</f>
        <v>595200</v>
      </c>
      <c r="R69" s="44"/>
      <c r="S69" s="128"/>
      <c r="T69" s="140">
        <v>70000</v>
      </c>
      <c r="U69" s="140">
        <f t="shared" si="5"/>
        <v>0</v>
      </c>
    </row>
    <row r="70" spans="1:21" ht="18" x14ac:dyDescent="0.2">
      <c r="A70" s="28">
        <v>57</v>
      </c>
      <c r="B70" s="44">
        <v>12</v>
      </c>
      <c r="C70" s="97" t="s">
        <v>112</v>
      </c>
      <c r="D70" s="97" t="s">
        <v>113</v>
      </c>
      <c r="E70" s="97">
        <v>7</v>
      </c>
      <c r="F70" s="97" t="s">
        <v>16</v>
      </c>
      <c r="G70" s="44">
        <v>59</v>
      </c>
      <c r="H70" s="113">
        <v>600</v>
      </c>
      <c r="I70" s="113">
        <v>600</v>
      </c>
      <c r="J70" s="119">
        <f t="shared" si="28"/>
        <v>0</v>
      </c>
      <c r="K70" s="97">
        <v>244</v>
      </c>
      <c r="L70" s="97">
        <v>82.69</v>
      </c>
      <c r="M70" s="97" t="s">
        <v>114</v>
      </c>
      <c r="N70" s="91">
        <f t="shared" si="29"/>
        <v>300000</v>
      </c>
      <c r="O70" s="91">
        <f t="shared" si="30"/>
        <v>73200</v>
      </c>
      <c r="P70" s="91">
        <v>50000</v>
      </c>
      <c r="Q70" s="91">
        <f t="shared" si="31"/>
        <v>373200</v>
      </c>
      <c r="R70" s="44"/>
      <c r="S70" s="128"/>
      <c r="T70" s="140">
        <v>70000</v>
      </c>
      <c r="U70" s="140">
        <f t="shared" si="5"/>
        <v>0</v>
      </c>
    </row>
    <row r="71" spans="1:21" ht="18" x14ac:dyDescent="0.2">
      <c r="A71" s="28">
        <v>58</v>
      </c>
      <c r="B71" s="44">
        <v>13</v>
      </c>
      <c r="C71" s="97" t="s">
        <v>115</v>
      </c>
      <c r="D71" s="97" t="s">
        <v>116</v>
      </c>
      <c r="E71" s="97">
        <v>7</v>
      </c>
      <c r="F71" s="97" t="s">
        <v>16</v>
      </c>
      <c r="G71" s="44">
        <v>77</v>
      </c>
      <c r="H71" s="113">
        <v>645</v>
      </c>
      <c r="I71" s="113">
        <v>645</v>
      </c>
      <c r="J71" s="119">
        <f t="shared" si="28"/>
        <v>0</v>
      </c>
      <c r="K71" s="97">
        <v>218</v>
      </c>
      <c r="L71" s="97">
        <v>60.36</v>
      </c>
      <c r="M71" s="97" t="s">
        <v>117</v>
      </c>
      <c r="N71" s="91">
        <f t="shared" si="29"/>
        <v>322500</v>
      </c>
      <c r="O71" s="91">
        <f t="shared" si="30"/>
        <v>65400</v>
      </c>
      <c r="P71" s="91">
        <v>50000</v>
      </c>
      <c r="Q71" s="91">
        <f t="shared" si="31"/>
        <v>387900</v>
      </c>
      <c r="R71" s="44"/>
      <c r="S71" s="128"/>
      <c r="T71" s="140">
        <v>70000</v>
      </c>
      <c r="U71" s="140">
        <f t="shared" si="5"/>
        <v>0</v>
      </c>
    </row>
    <row r="72" spans="1:21" ht="18" x14ac:dyDescent="0.2">
      <c r="A72" s="28">
        <v>59</v>
      </c>
      <c r="B72" s="44">
        <v>14</v>
      </c>
      <c r="C72" s="97" t="s">
        <v>118</v>
      </c>
      <c r="D72" s="97" t="s">
        <v>119</v>
      </c>
      <c r="E72" s="97">
        <v>7</v>
      </c>
      <c r="F72" s="97" t="s">
        <v>16</v>
      </c>
      <c r="G72" s="44">
        <v>57</v>
      </c>
      <c r="H72" s="113">
        <v>575</v>
      </c>
      <c r="I72" s="113">
        <v>575</v>
      </c>
      <c r="J72" s="119">
        <f t="shared" si="28"/>
        <v>0</v>
      </c>
      <c r="K72" s="97">
        <v>302</v>
      </c>
      <c r="L72" s="97">
        <v>115.79</v>
      </c>
      <c r="M72" s="97" t="s">
        <v>120</v>
      </c>
      <c r="N72" s="91">
        <f t="shared" si="29"/>
        <v>287500</v>
      </c>
      <c r="O72" s="91">
        <f t="shared" si="30"/>
        <v>90600</v>
      </c>
      <c r="P72" s="91">
        <v>50000</v>
      </c>
      <c r="Q72" s="91">
        <f t="shared" si="31"/>
        <v>378100</v>
      </c>
      <c r="R72" s="44"/>
      <c r="S72" s="128"/>
      <c r="T72" s="140">
        <v>70000</v>
      </c>
      <c r="U72" s="140">
        <f t="shared" si="5"/>
        <v>0</v>
      </c>
    </row>
    <row r="73" spans="1:21" ht="18" x14ac:dyDescent="0.2">
      <c r="A73" s="28">
        <v>60</v>
      </c>
      <c r="B73" s="44">
        <v>15</v>
      </c>
      <c r="C73" s="97" t="s">
        <v>121</v>
      </c>
      <c r="D73" s="97" t="s">
        <v>122</v>
      </c>
      <c r="E73" s="97">
        <v>7</v>
      </c>
      <c r="F73" s="97" t="s">
        <v>16</v>
      </c>
      <c r="G73" s="44">
        <v>55</v>
      </c>
      <c r="H73" s="113">
        <v>628</v>
      </c>
      <c r="I73" s="113">
        <v>628</v>
      </c>
      <c r="J73" s="119">
        <f t="shared" si="28"/>
        <v>0</v>
      </c>
      <c r="K73" s="97">
        <v>442</v>
      </c>
      <c r="L73" s="97">
        <v>74.77</v>
      </c>
      <c r="M73" s="97" t="s">
        <v>123</v>
      </c>
      <c r="N73" s="91">
        <f t="shared" si="29"/>
        <v>314000</v>
      </c>
      <c r="O73" s="91">
        <f t="shared" si="30"/>
        <v>132600</v>
      </c>
      <c r="P73" s="91">
        <v>50000</v>
      </c>
      <c r="Q73" s="91">
        <f t="shared" si="31"/>
        <v>446600</v>
      </c>
      <c r="R73" s="44"/>
      <c r="S73" s="128"/>
      <c r="T73" s="140">
        <v>70000</v>
      </c>
      <c r="U73" s="140">
        <f t="shared" si="5"/>
        <v>0</v>
      </c>
    </row>
    <row r="74" spans="1:21" ht="18" x14ac:dyDescent="0.2">
      <c r="A74" s="28">
        <v>61</v>
      </c>
      <c r="B74" s="44">
        <v>16</v>
      </c>
      <c r="C74" s="97" t="s">
        <v>124</v>
      </c>
      <c r="D74" s="97" t="s">
        <v>125</v>
      </c>
      <c r="E74" s="97">
        <v>7</v>
      </c>
      <c r="F74" s="97" t="s">
        <v>16</v>
      </c>
      <c r="G74" s="44">
        <v>79</v>
      </c>
      <c r="H74" s="113">
        <v>600</v>
      </c>
      <c r="I74" s="97">
        <v>534</v>
      </c>
      <c r="J74" s="119">
        <f t="shared" si="28"/>
        <v>-66</v>
      </c>
      <c r="K74" s="97">
        <v>254</v>
      </c>
      <c r="L74" s="97">
        <v>100.3</v>
      </c>
      <c r="M74" s="97" t="s">
        <v>126</v>
      </c>
      <c r="N74" s="91">
        <f t="shared" si="29"/>
        <v>267000</v>
      </c>
      <c r="O74" s="91">
        <f t="shared" si="30"/>
        <v>76200</v>
      </c>
      <c r="P74" s="91">
        <v>50000</v>
      </c>
      <c r="Q74" s="91">
        <f t="shared" si="31"/>
        <v>343200</v>
      </c>
      <c r="R74" s="44"/>
      <c r="S74" s="128"/>
      <c r="T74" s="140">
        <v>70000</v>
      </c>
      <c r="U74" s="140">
        <f t="shared" si="5"/>
        <v>0</v>
      </c>
    </row>
    <row r="75" spans="1:21" ht="18" x14ac:dyDescent="0.2">
      <c r="A75" s="28">
        <v>62</v>
      </c>
      <c r="B75" s="44">
        <v>17</v>
      </c>
      <c r="C75" s="97" t="s">
        <v>127</v>
      </c>
      <c r="D75" s="97" t="s">
        <v>128</v>
      </c>
      <c r="E75" s="97">
        <v>7</v>
      </c>
      <c r="F75" s="97" t="s">
        <v>129</v>
      </c>
      <c r="G75" s="44">
        <v>51</v>
      </c>
      <c r="H75" s="113">
        <v>600</v>
      </c>
      <c r="I75" s="97">
        <v>611</v>
      </c>
      <c r="J75" s="119">
        <f t="shared" si="28"/>
        <v>11</v>
      </c>
      <c r="K75" s="97">
        <v>452</v>
      </c>
      <c r="L75" s="97">
        <v>190.55</v>
      </c>
      <c r="M75" s="97" t="s">
        <v>130</v>
      </c>
      <c r="N75" s="91">
        <f t="shared" si="29"/>
        <v>305500</v>
      </c>
      <c r="O75" s="91">
        <f t="shared" si="30"/>
        <v>135600</v>
      </c>
      <c r="P75" s="91">
        <v>50000</v>
      </c>
      <c r="Q75" s="91">
        <f t="shared" si="31"/>
        <v>441100</v>
      </c>
      <c r="R75" s="44"/>
      <c r="S75" s="128"/>
      <c r="T75" s="140">
        <v>70000</v>
      </c>
      <c r="U75" s="140">
        <f t="shared" si="5"/>
        <v>0</v>
      </c>
    </row>
    <row r="76" spans="1:21" ht="18" x14ac:dyDescent="0.2">
      <c r="A76" s="28">
        <v>63</v>
      </c>
      <c r="B76" s="44">
        <v>18</v>
      </c>
      <c r="C76" s="97" t="s">
        <v>131</v>
      </c>
      <c r="D76" s="97" t="s">
        <v>132</v>
      </c>
      <c r="E76" s="97">
        <v>7</v>
      </c>
      <c r="F76" s="97" t="s">
        <v>16</v>
      </c>
      <c r="G76" s="44">
        <v>53</v>
      </c>
      <c r="H76" s="113">
        <v>600</v>
      </c>
      <c r="I76" s="113">
        <v>600</v>
      </c>
      <c r="J76" s="119">
        <f t="shared" si="28"/>
        <v>0</v>
      </c>
      <c r="K76" s="97">
        <v>395</v>
      </c>
      <c r="L76" s="97">
        <v>167.02</v>
      </c>
      <c r="M76" s="97" t="s">
        <v>133</v>
      </c>
      <c r="N76" s="91">
        <f t="shared" si="29"/>
        <v>300000</v>
      </c>
      <c r="O76" s="91">
        <f t="shared" si="30"/>
        <v>118500</v>
      </c>
      <c r="P76" s="91">
        <v>50000</v>
      </c>
      <c r="Q76" s="91">
        <f t="shared" si="31"/>
        <v>418500</v>
      </c>
      <c r="R76" s="44"/>
      <c r="S76" s="128"/>
      <c r="T76" s="140">
        <v>70000</v>
      </c>
      <c r="U76" s="140">
        <f t="shared" si="5"/>
        <v>0</v>
      </c>
    </row>
    <row r="77" spans="1:21" ht="18" x14ac:dyDescent="0.2">
      <c r="A77" s="28">
        <v>64</v>
      </c>
      <c r="B77" s="44">
        <v>19</v>
      </c>
      <c r="C77" s="97" t="s">
        <v>134</v>
      </c>
      <c r="D77" s="97" t="s">
        <v>135</v>
      </c>
      <c r="E77" s="97">
        <v>7</v>
      </c>
      <c r="F77" s="97" t="s">
        <v>16</v>
      </c>
      <c r="G77" s="44">
        <v>51</v>
      </c>
      <c r="H77" s="113">
        <v>600</v>
      </c>
      <c r="I77" s="113">
        <v>600</v>
      </c>
      <c r="J77" s="119">
        <f t="shared" si="28"/>
        <v>0</v>
      </c>
      <c r="K77" s="97">
        <v>232</v>
      </c>
      <c r="L77" s="97">
        <v>91.51</v>
      </c>
      <c r="M77" s="97" t="s">
        <v>136</v>
      </c>
      <c r="N77" s="91">
        <f t="shared" si="29"/>
        <v>300000</v>
      </c>
      <c r="O77" s="91">
        <f t="shared" si="30"/>
        <v>69600</v>
      </c>
      <c r="P77" s="91">
        <v>50000</v>
      </c>
      <c r="Q77" s="91">
        <f t="shared" si="31"/>
        <v>369600</v>
      </c>
      <c r="R77" s="44"/>
      <c r="S77" s="128"/>
      <c r="T77" s="140">
        <v>70000</v>
      </c>
      <c r="U77" s="140">
        <f t="shared" si="5"/>
        <v>0</v>
      </c>
    </row>
    <row r="78" spans="1:21" ht="18" x14ac:dyDescent="0.2">
      <c r="A78" s="28">
        <v>65</v>
      </c>
      <c r="B78" s="44">
        <v>20</v>
      </c>
      <c r="C78" s="97" t="s">
        <v>137</v>
      </c>
      <c r="D78" s="97" t="s">
        <v>138</v>
      </c>
      <c r="E78" s="97">
        <v>7</v>
      </c>
      <c r="F78" s="97" t="s">
        <v>129</v>
      </c>
      <c r="G78" s="44">
        <v>83</v>
      </c>
      <c r="H78" s="113">
        <v>600</v>
      </c>
      <c r="I78" s="113">
        <v>600</v>
      </c>
      <c r="J78" s="119">
        <f t="shared" si="28"/>
        <v>0</v>
      </c>
      <c r="K78" s="97">
        <v>360</v>
      </c>
      <c r="L78" s="97">
        <v>138.27000000000001</v>
      </c>
      <c r="M78" s="97" t="s">
        <v>139</v>
      </c>
      <c r="N78" s="91">
        <f t="shared" si="29"/>
        <v>300000</v>
      </c>
      <c r="O78" s="91">
        <f t="shared" si="30"/>
        <v>108000</v>
      </c>
      <c r="P78" s="91">
        <v>50000</v>
      </c>
      <c r="Q78" s="91">
        <f t="shared" si="31"/>
        <v>408000</v>
      </c>
      <c r="R78" s="44"/>
      <c r="S78" s="128"/>
      <c r="T78" s="140">
        <v>70000</v>
      </c>
      <c r="U78" s="140">
        <f t="shared" si="5"/>
        <v>0</v>
      </c>
    </row>
    <row r="79" spans="1:21" s="122" customFormat="1" ht="18" x14ac:dyDescent="0.2">
      <c r="A79" s="3"/>
      <c r="B79" s="3"/>
      <c r="C79" s="3" t="s">
        <v>618</v>
      </c>
      <c r="D79" s="3"/>
      <c r="E79" s="3">
        <f>E78</f>
        <v>7</v>
      </c>
      <c r="F79" s="4"/>
      <c r="G79" s="3"/>
      <c r="H79" s="127">
        <f>SUM(H69:H78)</f>
        <v>6336</v>
      </c>
      <c r="I79" s="127">
        <f t="shared" ref="I79:L79" si="32">SUM(I69:I78)</f>
        <v>6281</v>
      </c>
      <c r="J79" s="127">
        <f t="shared" si="32"/>
        <v>-55</v>
      </c>
      <c r="K79" s="127">
        <f t="shared" si="32"/>
        <v>3403</v>
      </c>
      <c r="L79" s="127">
        <f t="shared" si="32"/>
        <v>1249.27</v>
      </c>
      <c r="M79" s="4"/>
      <c r="N79" s="128"/>
      <c r="O79" s="128"/>
      <c r="P79" s="128"/>
      <c r="Q79" s="128">
        <f>SUM(Q69:Q78)</f>
        <v>4161400</v>
      </c>
      <c r="R79" s="3">
        <v>46</v>
      </c>
      <c r="S79" s="128">
        <f t="shared" ref="S79:S127" si="33">Q79/R79</f>
        <v>90465.217391304352</v>
      </c>
      <c r="T79" s="140">
        <v>70000</v>
      </c>
      <c r="U79" s="140">
        <f t="shared" ref="U79:U142" si="34">R79*T79</f>
        <v>3220000</v>
      </c>
    </row>
    <row r="80" spans="1:21" s="122" customFormat="1" ht="18" x14ac:dyDescent="0.2">
      <c r="A80" s="3"/>
      <c r="B80" s="3"/>
      <c r="C80" s="3"/>
      <c r="D80" s="3"/>
      <c r="E80" s="3"/>
      <c r="F80" s="4"/>
      <c r="G80" s="3"/>
      <c r="H80" s="127"/>
      <c r="I80" s="127"/>
      <c r="J80" s="127"/>
      <c r="K80" s="127"/>
      <c r="L80" s="127"/>
      <c r="M80" s="4"/>
      <c r="N80" s="128"/>
      <c r="O80" s="128"/>
      <c r="P80" s="128"/>
      <c r="Q80" s="128"/>
      <c r="R80" s="3"/>
      <c r="S80" s="128"/>
      <c r="T80" s="140">
        <v>70000</v>
      </c>
      <c r="U80" s="140">
        <f t="shared" si="34"/>
        <v>0</v>
      </c>
    </row>
    <row r="81" spans="1:21" ht="18" x14ac:dyDescent="0.2">
      <c r="A81" s="28">
        <v>66</v>
      </c>
      <c r="B81" s="44">
        <v>22</v>
      </c>
      <c r="C81" s="117" t="s">
        <v>143</v>
      </c>
      <c r="D81" s="117" t="s">
        <v>144</v>
      </c>
      <c r="E81" s="117">
        <v>8</v>
      </c>
      <c r="F81" s="97" t="s">
        <v>16</v>
      </c>
      <c r="G81" s="44">
        <v>43</v>
      </c>
      <c r="H81" s="113">
        <v>552</v>
      </c>
      <c r="I81" s="113">
        <v>552</v>
      </c>
      <c r="J81" s="119">
        <f t="shared" ref="J81:J93" si="35">I81-H81</f>
        <v>0</v>
      </c>
      <c r="K81" s="97">
        <v>237</v>
      </c>
      <c r="L81" s="97">
        <v>148.84</v>
      </c>
      <c r="M81" s="97" t="s">
        <v>145</v>
      </c>
      <c r="N81" s="91">
        <f t="shared" ref="N81:N100" si="36">I81*P81/100</f>
        <v>276000</v>
      </c>
      <c r="O81" s="91">
        <f t="shared" ref="O81:O100" si="37">K81*300</f>
        <v>71100</v>
      </c>
      <c r="P81" s="91">
        <v>50000</v>
      </c>
      <c r="Q81" s="91">
        <f t="shared" ref="Q81:Q100" si="38">N81+O81</f>
        <v>347100</v>
      </c>
      <c r="R81" s="44"/>
      <c r="S81" s="128"/>
      <c r="T81" s="140">
        <v>70000</v>
      </c>
      <c r="U81" s="140">
        <f t="shared" si="34"/>
        <v>0</v>
      </c>
    </row>
    <row r="82" spans="1:21" ht="18" x14ac:dyDescent="0.2">
      <c r="A82" s="28">
        <v>67</v>
      </c>
      <c r="B82" s="44">
        <v>50</v>
      </c>
      <c r="C82" s="97" t="s">
        <v>232</v>
      </c>
      <c r="D82" s="97" t="s">
        <v>233</v>
      </c>
      <c r="E82" s="97">
        <v>8</v>
      </c>
      <c r="F82" s="97" t="s">
        <v>16</v>
      </c>
      <c r="G82" s="44">
        <v>24</v>
      </c>
      <c r="H82" s="113">
        <v>684</v>
      </c>
      <c r="I82" s="97">
        <v>400</v>
      </c>
      <c r="J82" s="119">
        <f t="shared" si="35"/>
        <v>-284</v>
      </c>
      <c r="K82" s="97">
        <v>222</v>
      </c>
      <c r="L82" s="97">
        <v>88.78</v>
      </c>
      <c r="M82" s="97" t="s">
        <v>234</v>
      </c>
      <c r="N82" s="91">
        <f t="shared" si="36"/>
        <v>200000</v>
      </c>
      <c r="O82" s="91">
        <f t="shared" si="37"/>
        <v>66600</v>
      </c>
      <c r="P82" s="91">
        <v>50000</v>
      </c>
      <c r="Q82" s="91">
        <f t="shared" si="38"/>
        <v>266600</v>
      </c>
      <c r="R82" s="44"/>
      <c r="S82" s="128"/>
      <c r="T82" s="140">
        <v>70000</v>
      </c>
      <c r="U82" s="140">
        <f t="shared" si="34"/>
        <v>0</v>
      </c>
    </row>
    <row r="83" spans="1:21" ht="18" x14ac:dyDescent="0.2">
      <c r="A83" s="28">
        <v>68</v>
      </c>
      <c r="B83" s="44">
        <v>51</v>
      </c>
      <c r="C83" s="97" t="s">
        <v>137</v>
      </c>
      <c r="D83" s="97" t="s">
        <v>235</v>
      </c>
      <c r="E83" s="97">
        <v>8</v>
      </c>
      <c r="F83" s="97" t="s">
        <v>16</v>
      </c>
      <c r="G83" s="44">
        <v>33</v>
      </c>
      <c r="H83" s="113">
        <v>597</v>
      </c>
      <c r="I83" s="113">
        <v>597</v>
      </c>
      <c r="J83" s="119">
        <f t="shared" si="35"/>
        <v>0</v>
      </c>
      <c r="K83" s="97">
        <v>448</v>
      </c>
      <c r="L83" s="97">
        <v>115.03</v>
      </c>
      <c r="M83" s="97" t="s">
        <v>236</v>
      </c>
      <c r="N83" s="91">
        <f t="shared" si="36"/>
        <v>298500</v>
      </c>
      <c r="O83" s="91">
        <f t="shared" si="37"/>
        <v>134400</v>
      </c>
      <c r="P83" s="91">
        <v>50000</v>
      </c>
      <c r="Q83" s="91">
        <f t="shared" si="38"/>
        <v>432900</v>
      </c>
      <c r="R83" s="44"/>
      <c r="S83" s="128"/>
      <c r="T83" s="140">
        <v>70000</v>
      </c>
      <c r="U83" s="140">
        <f t="shared" si="34"/>
        <v>0</v>
      </c>
    </row>
    <row r="84" spans="1:21" ht="18" x14ac:dyDescent="0.2">
      <c r="A84" s="28">
        <v>69</v>
      </c>
      <c r="B84" s="44">
        <v>52</v>
      </c>
      <c r="C84" s="97" t="s">
        <v>237</v>
      </c>
      <c r="D84" s="97" t="s">
        <v>238</v>
      </c>
      <c r="E84" s="97">
        <v>8</v>
      </c>
      <c r="F84" s="97" t="s">
        <v>239</v>
      </c>
      <c r="G84" s="44">
        <v>31</v>
      </c>
      <c r="H84" s="113">
        <v>983</v>
      </c>
      <c r="I84" s="97">
        <v>843</v>
      </c>
      <c r="J84" s="119">
        <f t="shared" si="35"/>
        <v>-140</v>
      </c>
      <c r="K84" s="97">
        <v>317</v>
      </c>
      <c r="L84" s="97">
        <v>103</v>
      </c>
      <c r="M84" s="97" t="s">
        <v>240</v>
      </c>
      <c r="N84" s="91">
        <f t="shared" si="36"/>
        <v>421500</v>
      </c>
      <c r="O84" s="91">
        <f t="shared" si="37"/>
        <v>95100</v>
      </c>
      <c r="P84" s="91">
        <v>50000</v>
      </c>
      <c r="Q84" s="91">
        <f t="shared" si="38"/>
        <v>516600</v>
      </c>
      <c r="R84" s="44"/>
      <c r="S84" s="128"/>
      <c r="T84" s="140">
        <v>70000</v>
      </c>
      <c r="U84" s="140">
        <f t="shared" si="34"/>
        <v>0</v>
      </c>
    </row>
    <row r="85" spans="1:21" ht="18" x14ac:dyDescent="0.2">
      <c r="A85" s="28">
        <v>70</v>
      </c>
      <c r="B85" s="44">
        <v>53</v>
      </c>
      <c r="C85" s="97" t="s">
        <v>241</v>
      </c>
      <c r="D85" s="97" t="s">
        <v>242</v>
      </c>
      <c r="E85" s="97">
        <v>8</v>
      </c>
      <c r="F85" s="97" t="s">
        <v>129</v>
      </c>
      <c r="G85" s="44">
        <v>85</v>
      </c>
      <c r="H85" s="113">
        <v>600</v>
      </c>
      <c r="I85" s="113">
        <v>600</v>
      </c>
      <c r="J85" s="119">
        <f t="shared" si="35"/>
        <v>0</v>
      </c>
      <c r="K85" s="97">
        <v>203</v>
      </c>
      <c r="L85" s="97">
        <v>82.94</v>
      </c>
      <c r="M85" s="97" t="s">
        <v>243</v>
      </c>
      <c r="N85" s="91">
        <f t="shared" si="36"/>
        <v>300000</v>
      </c>
      <c r="O85" s="91">
        <f t="shared" si="37"/>
        <v>60900</v>
      </c>
      <c r="P85" s="91">
        <v>50000</v>
      </c>
      <c r="Q85" s="91">
        <f t="shared" si="38"/>
        <v>360900</v>
      </c>
      <c r="R85" s="44"/>
      <c r="S85" s="128"/>
      <c r="T85" s="140">
        <v>70000</v>
      </c>
      <c r="U85" s="140">
        <f t="shared" si="34"/>
        <v>0</v>
      </c>
    </row>
    <row r="86" spans="1:21" ht="18" x14ac:dyDescent="0.2">
      <c r="A86" s="28">
        <v>71</v>
      </c>
      <c r="B86" s="44">
        <v>54</v>
      </c>
      <c r="C86" s="97" t="s">
        <v>244</v>
      </c>
      <c r="D86" s="97" t="s">
        <v>245</v>
      </c>
      <c r="E86" s="97">
        <v>8</v>
      </c>
      <c r="F86" s="97" t="s">
        <v>16</v>
      </c>
      <c r="G86" s="44" t="s">
        <v>246</v>
      </c>
      <c r="H86" s="113">
        <v>606</v>
      </c>
      <c r="I86" s="113">
        <v>606</v>
      </c>
      <c r="J86" s="119">
        <f t="shared" si="35"/>
        <v>0</v>
      </c>
      <c r="K86" s="97">
        <v>385</v>
      </c>
      <c r="L86" s="97">
        <v>167</v>
      </c>
      <c r="M86" s="97" t="s">
        <v>247</v>
      </c>
      <c r="N86" s="91">
        <f t="shared" si="36"/>
        <v>303000</v>
      </c>
      <c r="O86" s="91">
        <f t="shared" si="37"/>
        <v>115500</v>
      </c>
      <c r="P86" s="91">
        <v>50000</v>
      </c>
      <c r="Q86" s="91">
        <f t="shared" si="38"/>
        <v>418500</v>
      </c>
      <c r="R86" s="44"/>
      <c r="S86" s="128"/>
      <c r="T86" s="140">
        <v>70000</v>
      </c>
      <c r="U86" s="140">
        <f t="shared" si="34"/>
        <v>0</v>
      </c>
    </row>
    <row r="87" spans="1:21" ht="18" x14ac:dyDescent="0.2">
      <c r="A87" s="28">
        <v>72</v>
      </c>
      <c r="B87" s="44">
        <v>55</v>
      </c>
      <c r="C87" s="97" t="s">
        <v>248</v>
      </c>
      <c r="D87" s="97" t="s">
        <v>249</v>
      </c>
      <c r="E87" s="97">
        <v>8</v>
      </c>
      <c r="F87" s="97" t="s">
        <v>16</v>
      </c>
      <c r="G87" s="44">
        <v>29</v>
      </c>
      <c r="H87" s="113">
        <v>546</v>
      </c>
      <c r="I87" s="113">
        <v>546</v>
      </c>
      <c r="J87" s="119">
        <f t="shared" si="35"/>
        <v>0</v>
      </c>
      <c r="K87" s="97">
        <v>289</v>
      </c>
      <c r="L87" s="97">
        <v>152.12</v>
      </c>
      <c r="M87" s="97" t="s">
        <v>247</v>
      </c>
      <c r="N87" s="91">
        <f t="shared" si="36"/>
        <v>273000</v>
      </c>
      <c r="O87" s="91">
        <f t="shared" si="37"/>
        <v>86700</v>
      </c>
      <c r="P87" s="91">
        <v>50000</v>
      </c>
      <c r="Q87" s="91">
        <f t="shared" si="38"/>
        <v>359700</v>
      </c>
      <c r="R87" s="44"/>
      <c r="S87" s="128"/>
      <c r="T87" s="140">
        <v>70000</v>
      </c>
      <c r="U87" s="140">
        <f t="shared" si="34"/>
        <v>0</v>
      </c>
    </row>
    <row r="88" spans="1:21" ht="18" x14ac:dyDescent="0.2">
      <c r="A88" s="28">
        <v>73</v>
      </c>
      <c r="B88" s="44">
        <v>56</v>
      </c>
      <c r="C88" s="97" t="s">
        <v>250</v>
      </c>
      <c r="D88" s="97" t="s">
        <v>251</v>
      </c>
      <c r="E88" s="97">
        <v>8</v>
      </c>
      <c r="F88" s="97" t="s">
        <v>16</v>
      </c>
      <c r="G88" s="44">
        <v>27</v>
      </c>
      <c r="H88" s="113">
        <v>600</v>
      </c>
      <c r="I88" s="113">
        <v>600</v>
      </c>
      <c r="J88" s="119">
        <f t="shared" si="35"/>
        <v>0</v>
      </c>
      <c r="K88" s="97">
        <v>273</v>
      </c>
      <c r="L88" s="97">
        <v>187.94</v>
      </c>
      <c r="M88" s="97" t="s">
        <v>252</v>
      </c>
      <c r="N88" s="91">
        <f t="shared" si="36"/>
        <v>300000</v>
      </c>
      <c r="O88" s="91">
        <f t="shared" si="37"/>
        <v>81900</v>
      </c>
      <c r="P88" s="91">
        <v>50000</v>
      </c>
      <c r="Q88" s="91">
        <f t="shared" si="38"/>
        <v>381900</v>
      </c>
      <c r="R88" s="44"/>
      <c r="S88" s="128"/>
      <c r="T88" s="140">
        <v>70000</v>
      </c>
      <c r="U88" s="140">
        <f t="shared" si="34"/>
        <v>0</v>
      </c>
    </row>
    <row r="89" spans="1:21" ht="18" x14ac:dyDescent="0.2">
      <c r="A89" s="28">
        <v>74</v>
      </c>
      <c r="B89" s="44">
        <v>57</v>
      </c>
      <c r="C89" s="97" t="s">
        <v>253</v>
      </c>
      <c r="D89" s="97" t="s">
        <v>254</v>
      </c>
      <c r="E89" s="97">
        <v>8</v>
      </c>
      <c r="F89" s="97" t="s">
        <v>16</v>
      </c>
      <c r="G89" s="44">
        <v>87</v>
      </c>
      <c r="H89" s="113">
        <v>895</v>
      </c>
      <c r="I89" s="113">
        <v>895</v>
      </c>
      <c r="J89" s="119">
        <f t="shared" si="35"/>
        <v>0</v>
      </c>
      <c r="K89" s="97">
        <v>278</v>
      </c>
      <c r="L89" s="97">
        <v>56.37</v>
      </c>
      <c r="M89" s="97" t="s">
        <v>255</v>
      </c>
      <c r="N89" s="91">
        <f t="shared" si="36"/>
        <v>447500</v>
      </c>
      <c r="O89" s="91">
        <f t="shared" si="37"/>
        <v>83400</v>
      </c>
      <c r="P89" s="91">
        <v>50000</v>
      </c>
      <c r="Q89" s="91">
        <f t="shared" si="38"/>
        <v>530900</v>
      </c>
      <c r="R89" s="44"/>
      <c r="S89" s="128"/>
      <c r="T89" s="140">
        <v>70000</v>
      </c>
      <c r="U89" s="140">
        <f t="shared" si="34"/>
        <v>0</v>
      </c>
    </row>
    <row r="90" spans="1:21" ht="18" x14ac:dyDescent="0.2">
      <c r="A90" s="28">
        <v>75</v>
      </c>
      <c r="B90" s="44">
        <v>58</v>
      </c>
      <c r="C90" s="97" t="s">
        <v>253</v>
      </c>
      <c r="D90" s="97" t="s">
        <v>256</v>
      </c>
      <c r="E90" s="97">
        <v>8</v>
      </c>
      <c r="F90" s="97" t="s">
        <v>16</v>
      </c>
      <c r="G90" s="44">
        <v>113</v>
      </c>
      <c r="H90" s="113">
        <v>1412</v>
      </c>
      <c r="I90" s="97">
        <v>1471</v>
      </c>
      <c r="J90" s="119">
        <f t="shared" si="35"/>
        <v>59</v>
      </c>
      <c r="K90" s="97">
        <v>523</v>
      </c>
      <c r="L90" s="97">
        <v>227.65</v>
      </c>
      <c r="M90" s="97" t="s">
        <v>257</v>
      </c>
      <c r="N90" s="91">
        <f t="shared" si="36"/>
        <v>735500</v>
      </c>
      <c r="O90" s="91">
        <f t="shared" si="37"/>
        <v>156900</v>
      </c>
      <c r="P90" s="91">
        <v>50000</v>
      </c>
      <c r="Q90" s="91">
        <f t="shared" si="38"/>
        <v>892400</v>
      </c>
      <c r="R90" s="44"/>
      <c r="S90" s="128"/>
      <c r="T90" s="140">
        <v>70000</v>
      </c>
      <c r="U90" s="140">
        <f t="shared" si="34"/>
        <v>0</v>
      </c>
    </row>
    <row r="91" spans="1:21" ht="18" x14ac:dyDescent="0.2">
      <c r="A91" s="28">
        <v>76</v>
      </c>
      <c r="B91" s="44">
        <v>59</v>
      </c>
      <c r="C91" s="97" t="s">
        <v>258</v>
      </c>
      <c r="D91" s="97" t="s">
        <v>259</v>
      </c>
      <c r="E91" s="97">
        <v>8</v>
      </c>
      <c r="F91" s="97" t="s">
        <v>16</v>
      </c>
      <c r="G91" s="44">
        <v>91</v>
      </c>
      <c r="H91" s="113">
        <v>500</v>
      </c>
      <c r="I91" s="113">
        <v>500</v>
      </c>
      <c r="J91" s="119">
        <f t="shared" si="35"/>
        <v>0</v>
      </c>
      <c r="K91" s="97">
        <v>124</v>
      </c>
      <c r="L91" s="97">
        <v>21.86</v>
      </c>
      <c r="M91" s="97" t="s">
        <v>260</v>
      </c>
      <c r="N91" s="91">
        <f t="shared" si="36"/>
        <v>250000</v>
      </c>
      <c r="O91" s="91">
        <f t="shared" si="37"/>
        <v>37200</v>
      </c>
      <c r="P91" s="91">
        <v>50000</v>
      </c>
      <c r="Q91" s="91">
        <f t="shared" si="38"/>
        <v>287200</v>
      </c>
      <c r="R91" s="44"/>
      <c r="S91" s="128"/>
      <c r="T91" s="140">
        <v>70000</v>
      </c>
      <c r="U91" s="140">
        <f t="shared" si="34"/>
        <v>0</v>
      </c>
    </row>
    <row r="92" spans="1:21" ht="18" x14ac:dyDescent="0.2">
      <c r="A92" s="28">
        <v>77</v>
      </c>
      <c r="B92" s="44">
        <v>60</v>
      </c>
      <c r="C92" s="97" t="s">
        <v>261</v>
      </c>
      <c r="D92" s="97" t="s">
        <v>262</v>
      </c>
      <c r="E92" s="97">
        <v>8</v>
      </c>
      <c r="F92" s="97" t="s">
        <v>16</v>
      </c>
      <c r="G92" s="44">
        <v>21</v>
      </c>
      <c r="H92" s="113">
        <v>560</v>
      </c>
      <c r="I92" s="113">
        <v>560</v>
      </c>
      <c r="J92" s="119">
        <f t="shared" si="35"/>
        <v>0</v>
      </c>
      <c r="K92" s="97">
        <v>271</v>
      </c>
      <c r="L92" s="97">
        <v>94.61</v>
      </c>
      <c r="M92" s="97" t="s">
        <v>263</v>
      </c>
      <c r="N92" s="91">
        <f t="shared" si="36"/>
        <v>280000</v>
      </c>
      <c r="O92" s="91">
        <f t="shared" si="37"/>
        <v>81300</v>
      </c>
      <c r="P92" s="91">
        <v>50000</v>
      </c>
      <c r="Q92" s="91">
        <f t="shared" si="38"/>
        <v>361300</v>
      </c>
      <c r="R92" s="44"/>
      <c r="S92" s="128"/>
      <c r="T92" s="140">
        <v>70000</v>
      </c>
      <c r="U92" s="140">
        <f t="shared" si="34"/>
        <v>0</v>
      </c>
    </row>
    <row r="93" spans="1:21" ht="18" x14ac:dyDescent="0.2">
      <c r="A93" s="28">
        <v>78</v>
      </c>
      <c r="B93" s="44">
        <v>61</v>
      </c>
      <c r="C93" s="97" t="s">
        <v>264</v>
      </c>
      <c r="D93" s="97" t="s">
        <v>265</v>
      </c>
      <c r="E93" s="97">
        <v>8</v>
      </c>
      <c r="F93" s="97" t="s">
        <v>16</v>
      </c>
      <c r="G93" s="44" t="s">
        <v>266</v>
      </c>
      <c r="H93" s="113">
        <v>600</v>
      </c>
      <c r="I93" s="97">
        <v>598</v>
      </c>
      <c r="J93" s="119">
        <f t="shared" si="35"/>
        <v>-2</v>
      </c>
      <c r="K93" s="97">
        <v>296</v>
      </c>
      <c r="L93" s="97">
        <v>152.84</v>
      </c>
      <c r="M93" s="97" t="s">
        <v>267</v>
      </c>
      <c r="N93" s="91">
        <f t="shared" si="36"/>
        <v>299000</v>
      </c>
      <c r="O93" s="91">
        <f t="shared" si="37"/>
        <v>88800</v>
      </c>
      <c r="P93" s="91">
        <v>50000</v>
      </c>
      <c r="Q93" s="91">
        <f t="shared" si="38"/>
        <v>387800</v>
      </c>
      <c r="R93" s="44"/>
      <c r="S93" s="128"/>
      <c r="T93" s="140">
        <v>70000</v>
      </c>
      <c r="U93" s="140">
        <f t="shared" si="34"/>
        <v>0</v>
      </c>
    </row>
    <row r="94" spans="1:21" ht="18" x14ac:dyDescent="0.2">
      <c r="A94" s="28">
        <v>79</v>
      </c>
      <c r="B94" s="44">
        <v>62</v>
      </c>
      <c r="C94" s="97" t="s">
        <v>268</v>
      </c>
      <c r="D94" s="97" t="s">
        <v>269</v>
      </c>
      <c r="E94" s="97">
        <v>8</v>
      </c>
      <c r="F94" s="97" t="s">
        <v>16</v>
      </c>
      <c r="G94" s="44">
        <v>111</v>
      </c>
      <c r="H94" s="113">
        <v>901</v>
      </c>
      <c r="I94" s="97">
        <v>534</v>
      </c>
      <c r="J94" s="119"/>
      <c r="K94" s="97">
        <v>298</v>
      </c>
      <c r="L94" s="97">
        <v>95.01</v>
      </c>
      <c r="M94" s="97" t="s">
        <v>270</v>
      </c>
      <c r="N94" s="91">
        <f t="shared" si="36"/>
        <v>267000</v>
      </c>
      <c r="O94" s="91">
        <f t="shared" si="37"/>
        <v>89400</v>
      </c>
      <c r="P94" s="91">
        <v>50000</v>
      </c>
      <c r="Q94" s="91">
        <f t="shared" si="38"/>
        <v>356400</v>
      </c>
      <c r="R94" s="44"/>
      <c r="S94" s="128"/>
      <c r="T94" s="140">
        <v>70000</v>
      </c>
      <c r="U94" s="140">
        <f t="shared" si="34"/>
        <v>0</v>
      </c>
    </row>
    <row r="95" spans="1:21" ht="18" x14ac:dyDescent="0.2">
      <c r="A95" s="28">
        <v>80</v>
      </c>
      <c r="B95" s="44">
        <v>63</v>
      </c>
      <c r="C95" s="97" t="s">
        <v>271</v>
      </c>
      <c r="D95" s="97" t="s">
        <v>272</v>
      </c>
      <c r="E95" s="97">
        <v>8</v>
      </c>
      <c r="F95" s="97" t="s">
        <v>16</v>
      </c>
      <c r="G95" s="44" t="s">
        <v>273</v>
      </c>
      <c r="H95" s="113">
        <v>901</v>
      </c>
      <c r="I95" s="97">
        <v>367</v>
      </c>
      <c r="J95" s="119"/>
      <c r="K95" s="97">
        <v>142</v>
      </c>
      <c r="L95" s="97">
        <v>66.16</v>
      </c>
      <c r="M95" s="97" t="s">
        <v>274</v>
      </c>
      <c r="N95" s="91">
        <f t="shared" si="36"/>
        <v>183500</v>
      </c>
      <c r="O95" s="91">
        <f t="shared" si="37"/>
        <v>42600</v>
      </c>
      <c r="P95" s="91">
        <v>50000</v>
      </c>
      <c r="Q95" s="91">
        <f t="shared" si="38"/>
        <v>226100</v>
      </c>
      <c r="R95" s="44"/>
      <c r="S95" s="128"/>
      <c r="T95" s="140">
        <v>70000</v>
      </c>
      <c r="U95" s="140">
        <f t="shared" si="34"/>
        <v>0</v>
      </c>
    </row>
    <row r="96" spans="1:21" ht="18" x14ac:dyDescent="0.2">
      <c r="A96" s="28">
        <v>81</v>
      </c>
      <c r="B96" s="44">
        <v>64</v>
      </c>
      <c r="C96" s="97" t="s">
        <v>275</v>
      </c>
      <c r="D96" s="97" t="s">
        <v>276</v>
      </c>
      <c r="E96" s="97">
        <v>8</v>
      </c>
      <c r="F96" s="97" t="s">
        <v>277</v>
      </c>
      <c r="G96" s="44">
        <v>93</v>
      </c>
      <c r="H96" s="113">
        <v>624</v>
      </c>
      <c r="I96" s="113">
        <v>624</v>
      </c>
      <c r="J96" s="119">
        <f>I96-H96</f>
        <v>0</v>
      </c>
      <c r="K96" s="97">
        <v>365</v>
      </c>
      <c r="L96" s="97">
        <v>193.4</v>
      </c>
      <c r="M96" s="97" t="s">
        <v>278</v>
      </c>
      <c r="N96" s="91">
        <f t="shared" si="36"/>
        <v>312000</v>
      </c>
      <c r="O96" s="91">
        <f t="shared" si="37"/>
        <v>109500</v>
      </c>
      <c r="P96" s="91">
        <v>50000</v>
      </c>
      <c r="Q96" s="91">
        <f t="shared" si="38"/>
        <v>421500</v>
      </c>
      <c r="R96" s="44"/>
      <c r="S96" s="128"/>
      <c r="T96" s="140">
        <v>70000</v>
      </c>
      <c r="U96" s="140">
        <f t="shared" si="34"/>
        <v>0</v>
      </c>
    </row>
    <row r="97" spans="1:21" ht="18" x14ac:dyDescent="0.2">
      <c r="A97" s="28">
        <v>82</v>
      </c>
      <c r="B97" s="44">
        <v>65</v>
      </c>
      <c r="C97" s="97" t="s">
        <v>279</v>
      </c>
      <c r="D97" s="97" t="s">
        <v>280</v>
      </c>
      <c r="E97" s="97">
        <v>8</v>
      </c>
      <c r="F97" s="97" t="s">
        <v>16</v>
      </c>
      <c r="G97" s="44">
        <v>89</v>
      </c>
      <c r="H97" s="113">
        <v>900</v>
      </c>
      <c r="I97" s="113">
        <v>900</v>
      </c>
      <c r="J97" s="119">
        <f>I97-H97</f>
        <v>0</v>
      </c>
      <c r="K97" s="97">
        <v>340</v>
      </c>
      <c r="L97" s="97">
        <v>121.25</v>
      </c>
      <c r="M97" s="97" t="s">
        <v>281</v>
      </c>
      <c r="N97" s="91">
        <f t="shared" si="36"/>
        <v>450000</v>
      </c>
      <c r="O97" s="91">
        <f t="shared" si="37"/>
        <v>102000</v>
      </c>
      <c r="P97" s="91">
        <v>50000</v>
      </c>
      <c r="Q97" s="91">
        <f t="shared" si="38"/>
        <v>552000</v>
      </c>
      <c r="R97" s="44"/>
      <c r="S97" s="128"/>
      <c r="T97" s="140">
        <v>70000</v>
      </c>
      <c r="U97" s="140">
        <f t="shared" si="34"/>
        <v>0</v>
      </c>
    </row>
    <row r="98" spans="1:21" ht="18" x14ac:dyDescent="0.2">
      <c r="A98" s="28">
        <v>83</v>
      </c>
      <c r="B98" s="44">
        <v>66</v>
      </c>
      <c r="C98" s="97" t="s">
        <v>282</v>
      </c>
      <c r="D98" s="97" t="s">
        <v>283</v>
      </c>
      <c r="E98" s="97">
        <v>8</v>
      </c>
      <c r="F98" s="97" t="s">
        <v>16</v>
      </c>
      <c r="G98" s="44">
        <v>117</v>
      </c>
      <c r="H98" s="113">
        <v>740</v>
      </c>
      <c r="I98" s="113">
        <v>807</v>
      </c>
      <c r="J98" s="119">
        <f>I98-H98</f>
        <v>67</v>
      </c>
      <c r="K98" s="97">
        <v>502</v>
      </c>
      <c r="L98" s="97">
        <v>186.94</v>
      </c>
      <c r="M98" s="97" t="s">
        <v>284</v>
      </c>
      <c r="N98" s="91">
        <f t="shared" si="36"/>
        <v>403500</v>
      </c>
      <c r="O98" s="91">
        <f t="shared" si="37"/>
        <v>150600</v>
      </c>
      <c r="P98" s="91">
        <v>50000</v>
      </c>
      <c r="Q98" s="91">
        <f t="shared" si="38"/>
        <v>554100</v>
      </c>
      <c r="R98" s="44"/>
      <c r="S98" s="128"/>
      <c r="T98" s="140">
        <v>70000</v>
      </c>
      <c r="U98" s="140">
        <f t="shared" si="34"/>
        <v>0</v>
      </c>
    </row>
    <row r="99" spans="1:21" ht="18" x14ac:dyDescent="0.2">
      <c r="A99" s="28">
        <v>84</v>
      </c>
      <c r="B99" s="44">
        <v>83</v>
      </c>
      <c r="C99" s="97" t="s">
        <v>334</v>
      </c>
      <c r="D99" s="97" t="s">
        <v>335</v>
      </c>
      <c r="E99" s="97">
        <v>8</v>
      </c>
      <c r="F99" s="97" t="s">
        <v>16</v>
      </c>
      <c r="G99" s="44">
        <v>7</v>
      </c>
      <c r="H99" s="113">
        <v>586</v>
      </c>
      <c r="I99" s="113">
        <v>586</v>
      </c>
      <c r="J99" s="119">
        <f>I99-H99</f>
        <v>0</v>
      </c>
      <c r="K99" s="97">
        <v>200</v>
      </c>
      <c r="L99" s="97">
        <v>99.66</v>
      </c>
      <c r="M99" s="97" t="s">
        <v>336</v>
      </c>
      <c r="N99" s="91">
        <f t="shared" si="36"/>
        <v>293000</v>
      </c>
      <c r="O99" s="91">
        <f t="shared" si="37"/>
        <v>60000</v>
      </c>
      <c r="P99" s="91">
        <v>50000</v>
      </c>
      <c r="Q99" s="91">
        <f t="shared" si="38"/>
        <v>353000</v>
      </c>
      <c r="R99" s="44"/>
      <c r="S99" s="128"/>
      <c r="T99" s="140">
        <v>70000</v>
      </c>
      <c r="U99" s="140">
        <f t="shared" si="34"/>
        <v>0</v>
      </c>
    </row>
    <row r="100" spans="1:21" ht="18" x14ac:dyDescent="0.2">
      <c r="A100" s="28">
        <v>85</v>
      </c>
      <c r="B100" s="44">
        <v>84</v>
      </c>
      <c r="C100" s="97" t="s">
        <v>337</v>
      </c>
      <c r="D100" s="97" t="s">
        <v>338</v>
      </c>
      <c r="E100" s="97">
        <v>8</v>
      </c>
      <c r="F100" s="97" t="s">
        <v>16</v>
      </c>
      <c r="G100" s="44">
        <v>109</v>
      </c>
      <c r="H100" s="113">
        <v>923</v>
      </c>
      <c r="I100" s="113">
        <v>923</v>
      </c>
      <c r="J100" s="119">
        <f>I100-H100</f>
        <v>0</v>
      </c>
      <c r="K100" s="97">
        <v>521</v>
      </c>
      <c r="L100" s="97">
        <v>136.53</v>
      </c>
      <c r="M100" s="97" t="s">
        <v>339</v>
      </c>
      <c r="N100" s="91">
        <f t="shared" si="36"/>
        <v>461500</v>
      </c>
      <c r="O100" s="91">
        <f t="shared" si="37"/>
        <v>156300</v>
      </c>
      <c r="P100" s="91">
        <v>50000</v>
      </c>
      <c r="Q100" s="91">
        <f t="shared" si="38"/>
        <v>617800</v>
      </c>
      <c r="R100" s="44"/>
      <c r="S100" s="128"/>
      <c r="T100" s="140">
        <v>70000</v>
      </c>
      <c r="U100" s="140">
        <f t="shared" si="34"/>
        <v>0</v>
      </c>
    </row>
    <row r="101" spans="1:21" s="122" customFormat="1" ht="18" x14ac:dyDescent="0.2">
      <c r="A101" s="3"/>
      <c r="B101" s="3"/>
      <c r="C101" s="3" t="s">
        <v>618</v>
      </c>
      <c r="D101" s="3"/>
      <c r="E101" s="3">
        <f>E100</f>
        <v>8</v>
      </c>
      <c r="F101" s="4"/>
      <c r="G101" s="3"/>
      <c r="H101" s="127">
        <f>SUM(H81:H100)</f>
        <v>14710</v>
      </c>
      <c r="I101" s="127">
        <f t="shared" ref="I101:L101" si="39">SUM(I81:I100)</f>
        <v>13509</v>
      </c>
      <c r="J101" s="127">
        <f t="shared" si="39"/>
        <v>-300</v>
      </c>
      <c r="K101" s="127">
        <f t="shared" si="39"/>
        <v>6234</v>
      </c>
      <c r="L101" s="127">
        <f t="shared" si="39"/>
        <v>2497.9299999999998</v>
      </c>
      <c r="M101" s="4"/>
      <c r="N101" s="128"/>
      <c r="O101" s="128"/>
      <c r="P101" s="128"/>
      <c r="Q101" s="128">
        <f>SUM(Q81:Q100)</f>
        <v>8624700</v>
      </c>
      <c r="R101" s="3">
        <v>130</v>
      </c>
      <c r="S101" s="128">
        <f t="shared" si="33"/>
        <v>66343.846153846156</v>
      </c>
      <c r="T101" s="140">
        <v>70000</v>
      </c>
      <c r="U101" s="140">
        <f t="shared" si="34"/>
        <v>9100000</v>
      </c>
    </row>
    <row r="102" spans="1:21" s="122" customFormat="1" ht="18" x14ac:dyDescent="0.2">
      <c r="A102" s="3"/>
      <c r="B102" s="3"/>
      <c r="C102" s="3"/>
      <c r="D102" s="3"/>
      <c r="E102" s="3"/>
      <c r="F102" s="4"/>
      <c r="G102" s="3"/>
      <c r="H102" s="127"/>
      <c r="I102" s="127"/>
      <c r="J102" s="127"/>
      <c r="K102" s="127"/>
      <c r="L102" s="127"/>
      <c r="M102" s="4"/>
      <c r="N102" s="128"/>
      <c r="O102" s="128"/>
      <c r="P102" s="128"/>
      <c r="Q102" s="128"/>
      <c r="R102" s="3"/>
      <c r="S102" s="128"/>
      <c r="T102" s="140">
        <v>70000</v>
      </c>
      <c r="U102" s="140">
        <f t="shared" si="34"/>
        <v>0</v>
      </c>
    </row>
    <row r="103" spans="1:21" ht="18" x14ac:dyDescent="0.2">
      <c r="A103" s="28">
        <v>86</v>
      </c>
      <c r="B103" s="44">
        <v>85</v>
      </c>
      <c r="C103" s="97" t="s">
        <v>340</v>
      </c>
      <c r="D103" s="97" t="s">
        <v>341</v>
      </c>
      <c r="E103" s="97">
        <v>9</v>
      </c>
      <c r="F103" s="97" t="s">
        <v>16</v>
      </c>
      <c r="G103" s="44" t="s">
        <v>342</v>
      </c>
      <c r="H103" s="113">
        <v>1090</v>
      </c>
      <c r="I103" s="113">
        <v>1090</v>
      </c>
      <c r="J103" s="119">
        <f>I103-H103</f>
        <v>0</v>
      </c>
      <c r="K103" s="97">
        <v>557</v>
      </c>
      <c r="L103" s="97">
        <v>233.09</v>
      </c>
      <c r="M103" s="97" t="s">
        <v>343</v>
      </c>
      <c r="N103" s="91">
        <f>I103*P103/100</f>
        <v>654000</v>
      </c>
      <c r="O103" s="91">
        <f>K103*300</f>
        <v>167100</v>
      </c>
      <c r="P103" s="91">
        <v>60000</v>
      </c>
      <c r="Q103" s="91">
        <f>N103+O103</f>
        <v>821100</v>
      </c>
      <c r="R103" s="44"/>
      <c r="S103" s="128"/>
      <c r="T103" s="140">
        <v>70000</v>
      </c>
      <c r="U103" s="140">
        <f t="shared" si="34"/>
        <v>0</v>
      </c>
    </row>
    <row r="104" spans="1:21" ht="18" x14ac:dyDescent="0.2">
      <c r="A104" s="28">
        <v>87</v>
      </c>
      <c r="B104" s="44">
        <v>87</v>
      </c>
      <c r="C104" s="97" t="s">
        <v>347</v>
      </c>
      <c r="D104" s="97" t="s">
        <v>348</v>
      </c>
      <c r="E104" s="97">
        <v>9</v>
      </c>
      <c r="F104" s="97" t="s">
        <v>16</v>
      </c>
      <c r="G104" s="44">
        <v>13</v>
      </c>
      <c r="H104" s="113">
        <v>600</v>
      </c>
      <c r="I104" s="97">
        <v>612</v>
      </c>
      <c r="J104" s="119">
        <f>I104-H104</f>
        <v>12</v>
      </c>
      <c r="K104" s="97">
        <v>180</v>
      </c>
      <c r="L104" s="97">
        <v>69.61</v>
      </c>
      <c r="M104" s="97" t="s">
        <v>349</v>
      </c>
      <c r="N104" s="91">
        <f>I104*P104/100</f>
        <v>306000</v>
      </c>
      <c r="O104" s="91">
        <f>K104*300</f>
        <v>54000</v>
      </c>
      <c r="P104" s="91">
        <v>50000</v>
      </c>
      <c r="Q104" s="91">
        <f>N104+O104</f>
        <v>360000</v>
      </c>
      <c r="R104" s="44"/>
      <c r="S104" s="128"/>
      <c r="T104" s="140">
        <v>70000</v>
      </c>
      <c r="U104" s="140">
        <f t="shared" si="34"/>
        <v>0</v>
      </c>
    </row>
    <row r="105" spans="1:21" ht="18" x14ac:dyDescent="0.2">
      <c r="A105" s="28">
        <v>88</v>
      </c>
      <c r="B105" s="44">
        <v>108</v>
      </c>
      <c r="C105" s="97" t="s">
        <v>414</v>
      </c>
      <c r="D105" s="97" t="s">
        <v>415</v>
      </c>
      <c r="E105" s="97">
        <v>9</v>
      </c>
      <c r="F105" s="97" t="s">
        <v>16</v>
      </c>
      <c r="G105" s="44" t="s">
        <v>416</v>
      </c>
      <c r="H105" s="113">
        <v>1200</v>
      </c>
      <c r="I105" s="97">
        <v>1487</v>
      </c>
      <c r="J105" s="119">
        <f>I105-H105</f>
        <v>287</v>
      </c>
      <c r="K105" s="97">
        <v>547</v>
      </c>
      <c r="L105" s="97">
        <v>164.96</v>
      </c>
      <c r="M105" s="97" t="s">
        <v>417</v>
      </c>
      <c r="N105" s="91">
        <f>I105*P105/100</f>
        <v>743500</v>
      </c>
      <c r="O105" s="91">
        <f>K105*300</f>
        <v>164100</v>
      </c>
      <c r="P105" s="91">
        <v>50000</v>
      </c>
      <c r="Q105" s="91">
        <f>N105+O105</f>
        <v>907600</v>
      </c>
      <c r="R105" s="44"/>
      <c r="S105" s="128"/>
      <c r="T105" s="140">
        <v>70000</v>
      </c>
      <c r="U105" s="140">
        <f t="shared" si="34"/>
        <v>0</v>
      </c>
    </row>
    <row r="106" spans="1:21" s="120" customFormat="1" ht="18" x14ac:dyDescent="0.2">
      <c r="A106" s="28">
        <v>89</v>
      </c>
      <c r="B106" s="116">
        <v>135</v>
      </c>
      <c r="C106" s="60" t="s">
        <v>577</v>
      </c>
      <c r="D106" s="60" t="s">
        <v>578</v>
      </c>
      <c r="E106" s="44">
        <v>9</v>
      </c>
      <c r="F106" s="44" t="s">
        <v>515</v>
      </c>
      <c r="G106" s="44">
        <v>5</v>
      </c>
      <c r="H106" s="63">
        <v>1011</v>
      </c>
      <c r="I106" s="115">
        <f t="shared" ref="I106" si="40">H106/100</f>
        <v>10.11</v>
      </c>
      <c r="J106" s="115"/>
      <c r="K106" s="61"/>
      <c r="L106" s="65"/>
      <c r="M106" s="60" t="s">
        <v>579</v>
      </c>
      <c r="N106" s="61"/>
      <c r="O106" s="61"/>
      <c r="P106" s="61"/>
      <c r="Q106" s="61"/>
      <c r="R106" s="61"/>
      <c r="S106" s="128"/>
      <c r="T106" s="140">
        <v>70000</v>
      </c>
      <c r="U106" s="140">
        <f t="shared" si="34"/>
        <v>0</v>
      </c>
    </row>
    <row r="107" spans="1:21" s="120" customFormat="1" ht="18" x14ac:dyDescent="0.2">
      <c r="A107" s="28">
        <v>90</v>
      </c>
      <c r="B107" s="116">
        <v>136</v>
      </c>
      <c r="C107" s="60" t="s">
        <v>514</v>
      </c>
      <c r="D107" s="60" t="s">
        <v>517</v>
      </c>
      <c r="E107" s="97">
        <v>9</v>
      </c>
      <c r="F107" s="44" t="s">
        <v>515</v>
      </c>
      <c r="G107" s="44" t="s">
        <v>516</v>
      </c>
      <c r="H107" s="63">
        <v>211</v>
      </c>
      <c r="I107" s="114">
        <v>2.11</v>
      </c>
      <c r="J107" s="114"/>
      <c r="K107" s="63"/>
      <c r="L107" s="65"/>
      <c r="M107" s="60" t="s">
        <v>518</v>
      </c>
      <c r="N107" s="61"/>
      <c r="O107" s="61"/>
      <c r="P107" s="61"/>
      <c r="Q107" s="91"/>
      <c r="R107" s="61"/>
      <c r="S107" s="128"/>
      <c r="T107" s="140">
        <v>70000</v>
      </c>
      <c r="U107" s="140">
        <f t="shared" si="34"/>
        <v>0</v>
      </c>
    </row>
    <row r="108" spans="1:21" s="120" customFormat="1" ht="18" x14ac:dyDescent="0.2">
      <c r="A108" s="28">
        <v>91</v>
      </c>
      <c r="B108" s="116">
        <v>137</v>
      </c>
      <c r="C108" s="60" t="s">
        <v>519</v>
      </c>
      <c r="D108" s="60" t="s">
        <v>520</v>
      </c>
      <c r="E108" s="44">
        <v>9</v>
      </c>
      <c r="F108" s="44" t="s">
        <v>515</v>
      </c>
      <c r="G108" s="44" t="s">
        <v>516</v>
      </c>
      <c r="H108" s="63">
        <v>3663</v>
      </c>
      <c r="I108" s="114">
        <v>36.630000000000003</v>
      </c>
      <c r="J108" s="114"/>
      <c r="K108" s="63"/>
      <c r="L108" s="65"/>
      <c r="M108" s="60" t="s">
        <v>521</v>
      </c>
      <c r="N108" s="61"/>
      <c r="O108" s="61"/>
      <c r="P108" s="61"/>
      <c r="Q108" s="91">
        <f t="shared" ref="Q108:Q112" si="41">H108*1000</f>
        <v>3663000</v>
      </c>
      <c r="R108" s="61"/>
      <c r="S108" s="128"/>
      <c r="T108" s="140">
        <v>70000</v>
      </c>
      <c r="U108" s="140">
        <f t="shared" si="34"/>
        <v>0</v>
      </c>
    </row>
    <row r="109" spans="1:21" s="120" customFormat="1" ht="18" x14ac:dyDescent="0.2">
      <c r="A109" s="28">
        <v>92</v>
      </c>
      <c r="B109" s="116">
        <v>138</v>
      </c>
      <c r="C109" s="60" t="s">
        <v>522</v>
      </c>
      <c r="D109" s="60" t="s">
        <v>524</v>
      </c>
      <c r="E109" s="97">
        <v>9</v>
      </c>
      <c r="F109" s="44" t="s">
        <v>515</v>
      </c>
      <c r="G109" s="44" t="s">
        <v>523</v>
      </c>
      <c r="H109" s="63">
        <v>1751</v>
      </c>
      <c r="I109" s="114">
        <v>17.510000000000002</v>
      </c>
      <c r="J109" s="114"/>
      <c r="K109" s="63"/>
      <c r="L109" s="65"/>
      <c r="M109" s="60" t="s">
        <v>525</v>
      </c>
      <c r="N109" s="61"/>
      <c r="O109" s="61"/>
      <c r="P109" s="61"/>
      <c r="Q109" s="91">
        <f t="shared" si="41"/>
        <v>1751000</v>
      </c>
      <c r="R109" s="61"/>
      <c r="S109" s="128"/>
      <c r="T109" s="140">
        <v>70000</v>
      </c>
      <c r="U109" s="140">
        <f t="shared" si="34"/>
        <v>0</v>
      </c>
    </row>
    <row r="110" spans="1:21" s="120" customFormat="1" ht="34" x14ac:dyDescent="0.2">
      <c r="A110" s="28">
        <v>93</v>
      </c>
      <c r="B110" s="116">
        <v>139</v>
      </c>
      <c r="C110" s="60" t="s">
        <v>526</v>
      </c>
      <c r="D110" s="60" t="s">
        <v>527</v>
      </c>
      <c r="E110" s="44">
        <v>9</v>
      </c>
      <c r="F110" s="44" t="s">
        <v>515</v>
      </c>
      <c r="G110" s="44" t="s">
        <v>516</v>
      </c>
      <c r="H110" s="63">
        <v>516</v>
      </c>
      <c r="I110" s="114">
        <v>5.16</v>
      </c>
      <c r="J110" s="114"/>
      <c r="K110" s="63"/>
      <c r="L110" s="65"/>
      <c r="M110" s="60" t="s">
        <v>528</v>
      </c>
      <c r="N110" s="61"/>
      <c r="O110" s="61"/>
      <c r="P110" s="61"/>
      <c r="Q110" s="91">
        <f t="shared" si="41"/>
        <v>516000</v>
      </c>
      <c r="R110" s="61"/>
      <c r="S110" s="128"/>
      <c r="T110" s="140">
        <v>70000</v>
      </c>
      <c r="U110" s="140">
        <f t="shared" si="34"/>
        <v>0</v>
      </c>
    </row>
    <row r="111" spans="1:21" s="120" customFormat="1" ht="18" x14ac:dyDescent="0.2">
      <c r="A111" s="28">
        <v>94</v>
      </c>
      <c r="B111" s="116">
        <v>140</v>
      </c>
      <c r="C111" s="60" t="s">
        <v>529</v>
      </c>
      <c r="D111" s="60" t="s">
        <v>530</v>
      </c>
      <c r="E111" s="97">
        <v>9</v>
      </c>
      <c r="F111" s="44" t="s">
        <v>515</v>
      </c>
      <c r="G111" s="44" t="s">
        <v>516</v>
      </c>
      <c r="H111" s="63">
        <v>2152</v>
      </c>
      <c r="I111" s="114">
        <v>21.52</v>
      </c>
      <c r="J111" s="114"/>
      <c r="K111" s="63"/>
      <c r="L111" s="65"/>
      <c r="M111" s="60" t="s">
        <v>531</v>
      </c>
      <c r="N111" s="61"/>
      <c r="O111" s="61"/>
      <c r="P111" s="61"/>
      <c r="Q111" s="91">
        <f t="shared" si="41"/>
        <v>2152000</v>
      </c>
      <c r="R111" s="61"/>
      <c r="S111" s="128"/>
      <c r="T111" s="140">
        <v>70000</v>
      </c>
      <c r="U111" s="140">
        <f t="shared" si="34"/>
        <v>0</v>
      </c>
    </row>
    <row r="112" spans="1:21" s="120" customFormat="1" ht="18" x14ac:dyDescent="0.2">
      <c r="A112" s="28">
        <v>95</v>
      </c>
      <c r="B112" s="116">
        <v>160</v>
      </c>
      <c r="C112" s="60" t="s">
        <v>551</v>
      </c>
      <c r="D112" s="60" t="s">
        <v>553</v>
      </c>
      <c r="E112" s="44">
        <v>9</v>
      </c>
      <c r="F112" s="44" t="s">
        <v>515</v>
      </c>
      <c r="G112" s="44" t="s">
        <v>552</v>
      </c>
      <c r="H112" s="63">
        <v>3600</v>
      </c>
      <c r="I112" s="114">
        <f t="shared" ref="I112" si="42">H112/100</f>
        <v>36</v>
      </c>
      <c r="J112" s="114"/>
      <c r="K112" s="63"/>
      <c r="L112" s="65"/>
      <c r="M112" s="60" t="s">
        <v>554</v>
      </c>
      <c r="N112" s="61"/>
      <c r="O112" s="61"/>
      <c r="P112" s="61"/>
      <c r="Q112" s="91">
        <f t="shared" si="41"/>
        <v>3600000</v>
      </c>
      <c r="R112" s="61"/>
      <c r="S112" s="128"/>
      <c r="T112" s="140">
        <v>70000</v>
      </c>
      <c r="U112" s="140">
        <f t="shared" si="34"/>
        <v>0</v>
      </c>
    </row>
    <row r="113" spans="1:21" s="122" customFormat="1" ht="18" x14ac:dyDescent="0.2">
      <c r="A113" s="3"/>
      <c r="B113" s="3"/>
      <c r="C113" s="3" t="s">
        <v>618</v>
      </c>
      <c r="D113" s="3"/>
      <c r="E113" s="3">
        <f>E112</f>
        <v>9</v>
      </c>
      <c r="F113" s="4"/>
      <c r="G113" s="3"/>
      <c r="H113" s="127">
        <f>SUM(H103:H112)</f>
        <v>15794</v>
      </c>
      <c r="I113" s="127">
        <f t="shared" ref="I113:L113" si="43">SUM(I103:I112)</f>
        <v>3318.0400000000004</v>
      </c>
      <c r="J113" s="127">
        <f t="shared" si="43"/>
        <v>299</v>
      </c>
      <c r="K113" s="127">
        <f t="shared" si="43"/>
        <v>1284</v>
      </c>
      <c r="L113" s="127">
        <f t="shared" si="43"/>
        <v>467.65999999999997</v>
      </c>
      <c r="M113" s="4"/>
      <c r="N113" s="128"/>
      <c r="O113" s="128"/>
      <c r="P113" s="128"/>
      <c r="Q113" s="128">
        <f>SUM(Q103:Q112)</f>
        <v>13770700</v>
      </c>
      <c r="R113" s="3">
        <v>100</v>
      </c>
      <c r="S113" s="128">
        <f t="shared" si="33"/>
        <v>137707</v>
      </c>
      <c r="T113" s="140">
        <v>70000</v>
      </c>
      <c r="U113" s="140">
        <f t="shared" si="34"/>
        <v>7000000</v>
      </c>
    </row>
    <row r="114" spans="1:21" s="130" customFormat="1" ht="18" x14ac:dyDescent="0.2">
      <c r="A114" s="3"/>
      <c r="B114" s="6"/>
      <c r="C114" s="3"/>
      <c r="D114" s="3"/>
      <c r="E114" s="3"/>
      <c r="F114" s="7"/>
      <c r="G114" s="6"/>
      <c r="H114" s="8"/>
      <c r="I114" s="8"/>
      <c r="J114" s="8"/>
      <c r="K114" s="8"/>
      <c r="L114" s="8"/>
      <c r="M114" s="7"/>
      <c r="N114" s="129"/>
      <c r="O114" s="129"/>
      <c r="P114" s="129"/>
      <c r="Q114" s="129"/>
      <c r="R114" s="6"/>
      <c r="S114" s="128"/>
      <c r="T114" s="140">
        <v>70000</v>
      </c>
      <c r="U114" s="140">
        <f t="shared" si="34"/>
        <v>0</v>
      </c>
    </row>
    <row r="115" spans="1:21" ht="18" x14ac:dyDescent="0.2">
      <c r="A115" s="28">
        <v>96</v>
      </c>
      <c r="B115" s="44">
        <v>4</v>
      </c>
      <c r="C115" s="97" t="s">
        <v>88</v>
      </c>
      <c r="D115" s="97" t="s">
        <v>89</v>
      </c>
      <c r="E115" s="97">
        <v>10</v>
      </c>
      <c r="F115" s="97" t="s">
        <v>16</v>
      </c>
      <c r="G115" s="44">
        <v>65</v>
      </c>
      <c r="H115" s="113">
        <v>600</v>
      </c>
      <c r="I115" s="97">
        <v>591</v>
      </c>
      <c r="J115" s="119">
        <f>I115-H115</f>
        <v>-9</v>
      </c>
      <c r="K115" s="97">
        <v>110</v>
      </c>
      <c r="L115" s="97">
        <v>11.2</v>
      </c>
      <c r="M115" s="97" t="s">
        <v>90</v>
      </c>
      <c r="N115" s="91">
        <f>I115*P115/100</f>
        <v>295500</v>
      </c>
      <c r="O115" s="91">
        <f>K115*300</f>
        <v>33000</v>
      </c>
      <c r="P115" s="91">
        <v>50000</v>
      </c>
      <c r="Q115" s="91">
        <f>N115+O115</f>
        <v>328500</v>
      </c>
      <c r="R115" s="44"/>
      <c r="S115" s="128"/>
      <c r="T115" s="140">
        <v>70000</v>
      </c>
      <c r="U115" s="140">
        <f t="shared" si="34"/>
        <v>0</v>
      </c>
    </row>
    <row r="116" spans="1:21" ht="18" x14ac:dyDescent="0.2">
      <c r="A116" s="28">
        <v>97</v>
      </c>
      <c r="B116" s="44">
        <v>8</v>
      </c>
      <c r="C116" s="97" t="s">
        <v>100</v>
      </c>
      <c r="D116" s="97" t="s">
        <v>101</v>
      </c>
      <c r="E116" s="97">
        <v>10</v>
      </c>
      <c r="F116" s="97" t="s">
        <v>16</v>
      </c>
      <c r="G116" s="44">
        <v>73</v>
      </c>
      <c r="H116" s="113">
        <v>837</v>
      </c>
      <c r="I116" s="113">
        <v>837</v>
      </c>
      <c r="J116" s="119">
        <f>I116-H116</f>
        <v>0</v>
      </c>
      <c r="K116" s="97">
        <v>339</v>
      </c>
      <c r="L116" s="97">
        <v>197.16</v>
      </c>
      <c r="M116" s="97" t="s">
        <v>102</v>
      </c>
      <c r="N116" s="91">
        <f>I116*P116/100</f>
        <v>418500</v>
      </c>
      <c r="O116" s="91">
        <f>K116*300</f>
        <v>101700</v>
      </c>
      <c r="P116" s="91">
        <v>50000</v>
      </c>
      <c r="Q116" s="91">
        <f>N116+O116</f>
        <v>520200</v>
      </c>
      <c r="R116" s="44"/>
      <c r="S116" s="128"/>
      <c r="T116" s="140">
        <v>70000</v>
      </c>
      <c r="U116" s="140">
        <f t="shared" si="34"/>
        <v>0</v>
      </c>
    </row>
    <row r="117" spans="1:21" ht="18" x14ac:dyDescent="0.2">
      <c r="A117" s="28">
        <v>98</v>
      </c>
      <c r="B117" s="44">
        <v>9</v>
      </c>
      <c r="C117" s="97" t="s">
        <v>103</v>
      </c>
      <c r="D117" s="97" t="s">
        <v>104</v>
      </c>
      <c r="E117" s="97">
        <v>10</v>
      </c>
      <c r="F117" s="97" t="s">
        <v>16</v>
      </c>
      <c r="G117" s="44" t="s">
        <v>105</v>
      </c>
      <c r="H117" s="113">
        <v>600</v>
      </c>
      <c r="I117" s="97">
        <v>582</v>
      </c>
      <c r="J117" s="119">
        <f>I117-H117</f>
        <v>-18</v>
      </c>
      <c r="K117" s="97">
        <v>353</v>
      </c>
      <c r="L117" s="97">
        <v>83.64</v>
      </c>
      <c r="M117" s="97" t="s">
        <v>106</v>
      </c>
      <c r="N117" s="91">
        <f>I117*P117/100</f>
        <v>291000</v>
      </c>
      <c r="O117" s="91">
        <f>K117*300</f>
        <v>105900</v>
      </c>
      <c r="P117" s="91">
        <v>50000</v>
      </c>
      <c r="Q117" s="91">
        <f>N117+O117</f>
        <v>396900</v>
      </c>
      <c r="R117" s="44"/>
      <c r="S117" s="128"/>
      <c r="T117" s="140">
        <v>70000</v>
      </c>
      <c r="U117" s="140">
        <f t="shared" si="34"/>
        <v>0</v>
      </c>
    </row>
    <row r="118" spans="1:21" ht="18" x14ac:dyDescent="0.2">
      <c r="A118" s="28">
        <v>99</v>
      </c>
      <c r="B118" s="44">
        <v>10</v>
      </c>
      <c r="C118" s="97" t="s">
        <v>107</v>
      </c>
      <c r="D118" s="97" t="s">
        <v>108</v>
      </c>
      <c r="E118" s="97">
        <v>10</v>
      </c>
      <c r="F118" s="97" t="s">
        <v>16</v>
      </c>
      <c r="G118" s="44">
        <v>61</v>
      </c>
      <c r="H118" s="113">
        <v>600</v>
      </c>
      <c r="I118" s="97">
        <v>598</v>
      </c>
      <c r="J118" s="119">
        <f>I118-H118</f>
        <v>-2</v>
      </c>
      <c r="K118" s="97">
        <v>163</v>
      </c>
      <c r="L118" s="97">
        <v>73.41</v>
      </c>
      <c r="M118" s="97" t="s">
        <v>109</v>
      </c>
      <c r="N118" s="91">
        <f>I118*P118/100</f>
        <v>299000</v>
      </c>
      <c r="O118" s="91">
        <f>K118*300</f>
        <v>48900</v>
      </c>
      <c r="P118" s="91">
        <v>50000</v>
      </c>
      <c r="Q118" s="91">
        <f>N118+O118</f>
        <v>347900</v>
      </c>
      <c r="R118" s="44"/>
      <c r="S118" s="128"/>
      <c r="T118" s="140">
        <v>70000</v>
      </c>
      <c r="U118" s="140">
        <f t="shared" si="34"/>
        <v>0</v>
      </c>
    </row>
    <row r="119" spans="1:21" s="122" customFormat="1" ht="18" x14ac:dyDescent="0.2">
      <c r="A119" s="3"/>
      <c r="B119" s="3"/>
      <c r="C119" s="3" t="s">
        <v>618</v>
      </c>
      <c r="D119" s="3"/>
      <c r="E119" s="3">
        <f>E118</f>
        <v>10</v>
      </c>
      <c r="F119" s="4"/>
      <c r="G119" s="3">
        <f>SUM(G118)</f>
        <v>61</v>
      </c>
      <c r="H119" s="137">
        <f>SUM(H115:H118)</f>
        <v>2637</v>
      </c>
      <c r="I119" s="137">
        <f t="shared" ref="I119:L119" si="44">SUM(I115:I118)</f>
        <v>2608</v>
      </c>
      <c r="J119" s="137">
        <f t="shared" si="44"/>
        <v>-29</v>
      </c>
      <c r="K119" s="137">
        <f t="shared" si="44"/>
        <v>965</v>
      </c>
      <c r="L119" s="137">
        <f t="shared" si="44"/>
        <v>365.40999999999997</v>
      </c>
      <c r="M119" s="4"/>
      <c r="N119" s="128"/>
      <c r="O119" s="128"/>
      <c r="P119" s="128"/>
      <c r="Q119" s="128">
        <f>SUM(Q115:Q118)</f>
        <v>1593500</v>
      </c>
      <c r="R119" s="3">
        <v>25</v>
      </c>
      <c r="S119" s="128">
        <f t="shared" si="33"/>
        <v>63740</v>
      </c>
      <c r="T119" s="140">
        <v>70000</v>
      </c>
      <c r="U119" s="140">
        <f t="shared" si="34"/>
        <v>1750000</v>
      </c>
    </row>
    <row r="120" spans="1:21" s="122" customFormat="1" ht="18" x14ac:dyDescent="0.2">
      <c r="A120" s="3"/>
      <c r="B120" s="3"/>
      <c r="C120" s="3" t="s">
        <v>618</v>
      </c>
      <c r="D120" s="3"/>
      <c r="E120" s="3">
        <v>11</v>
      </c>
      <c r="F120" s="3"/>
      <c r="G120" s="3"/>
      <c r="H120" s="133"/>
      <c r="I120" s="133"/>
      <c r="J120" s="133"/>
      <c r="K120" s="133"/>
      <c r="L120" s="133"/>
      <c r="M120" s="133"/>
      <c r="N120" s="3"/>
      <c r="O120" s="3"/>
      <c r="P120" s="3"/>
      <c r="Q120" s="138">
        <v>0</v>
      </c>
      <c r="R120" s="3">
        <v>50</v>
      </c>
      <c r="S120" s="128"/>
      <c r="T120" s="140">
        <v>70000</v>
      </c>
      <c r="U120" s="140">
        <f t="shared" si="34"/>
        <v>3500000</v>
      </c>
    </row>
    <row r="121" spans="1:21" s="5" customFormat="1" ht="18" x14ac:dyDescent="0.2">
      <c r="A121" s="28"/>
      <c r="B121" s="28"/>
      <c r="C121" s="3"/>
      <c r="D121" s="3"/>
      <c r="E121" s="3"/>
      <c r="F121" s="134"/>
      <c r="G121" s="28"/>
      <c r="H121" s="28"/>
      <c r="I121" s="28"/>
      <c r="J121" s="28"/>
      <c r="K121" s="28"/>
      <c r="L121" s="28"/>
      <c r="M121" s="134"/>
      <c r="N121" s="92"/>
      <c r="O121" s="92"/>
      <c r="P121" s="92"/>
      <c r="Q121" s="92"/>
      <c r="R121" s="28"/>
      <c r="S121" s="128"/>
      <c r="T121" s="140">
        <v>70000</v>
      </c>
      <c r="U121" s="140">
        <f t="shared" si="34"/>
        <v>0</v>
      </c>
    </row>
    <row r="122" spans="1:21" ht="18" x14ac:dyDescent="0.2">
      <c r="A122" s="28">
        <v>100</v>
      </c>
      <c r="B122" s="44">
        <v>5</v>
      </c>
      <c r="C122" s="97" t="s">
        <v>91</v>
      </c>
      <c r="D122" s="97" t="s">
        <v>92</v>
      </c>
      <c r="E122" s="97">
        <v>12</v>
      </c>
      <c r="F122" s="97" t="s">
        <v>16</v>
      </c>
      <c r="G122" s="44">
        <v>67</v>
      </c>
      <c r="H122" s="113">
        <v>600</v>
      </c>
      <c r="I122" s="113">
        <v>600</v>
      </c>
      <c r="J122" s="119">
        <f>I122-H122</f>
        <v>0</v>
      </c>
      <c r="K122" s="97">
        <v>407</v>
      </c>
      <c r="L122" s="97">
        <v>201.6</v>
      </c>
      <c r="M122" s="97" t="s">
        <v>93</v>
      </c>
      <c r="N122" s="91">
        <f>I122*P122/100</f>
        <v>300000</v>
      </c>
      <c r="O122" s="91">
        <f>K122*300</f>
        <v>122100</v>
      </c>
      <c r="P122" s="91">
        <v>50000</v>
      </c>
      <c r="Q122" s="91">
        <f>N122+O122</f>
        <v>422100</v>
      </c>
      <c r="R122" s="44"/>
      <c r="S122" s="128"/>
      <c r="T122" s="140">
        <v>70000</v>
      </c>
      <c r="U122" s="140">
        <f t="shared" si="34"/>
        <v>0</v>
      </c>
    </row>
    <row r="123" spans="1:21" ht="18" x14ac:dyDescent="0.2">
      <c r="A123" s="28">
        <v>101</v>
      </c>
      <c r="B123" s="44">
        <v>6</v>
      </c>
      <c r="C123" s="97" t="s">
        <v>94</v>
      </c>
      <c r="D123" s="97" t="s">
        <v>95</v>
      </c>
      <c r="E123" s="97">
        <v>12</v>
      </c>
      <c r="F123" s="97" t="s">
        <v>16</v>
      </c>
      <c r="G123" s="44">
        <v>69</v>
      </c>
      <c r="H123" s="113">
        <v>941</v>
      </c>
      <c r="I123" s="113">
        <v>941</v>
      </c>
      <c r="J123" s="119">
        <f>I123-H123</f>
        <v>0</v>
      </c>
      <c r="K123" s="97">
        <v>340</v>
      </c>
      <c r="L123" s="97">
        <v>130.68</v>
      </c>
      <c r="M123" s="97" t="s">
        <v>96</v>
      </c>
      <c r="N123" s="91">
        <f>I123*P123/100</f>
        <v>470500</v>
      </c>
      <c r="O123" s="91">
        <f>K123*300</f>
        <v>102000</v>
      </c>
      <c r="P123" s="91">
        <v>50000</v>
      </c>
      <c r="Q123" s="91">
        <f>N123+O123</f>
        <v>572500</v>
      </c>
      <c r="R123" s="44"/>
      <c r="S123" s="128"/>
      <c r="T123" s="140">
        <v>70000</v>
      </c>
      <c r="U123" s="140">
        <f t="shared" si="34"/>
        <v>0</v>
      </c>
    </row>
    <row r="124" spans="1:21" ht="18" x14ac:dyDescent="0.2">
      <c r="A124" s="28">
        <v>102</v>
      </c>
      <c r="B124" s="44">
        <v>7</v>
      </c>
      <c r="C124" s="97" t="s">
        <v>97</v>
      </c>
      <c r="D124" s="97" t="s">
        <v>98</v>
      </c>
      <c r="E124" s="97">
        <v>12</v>
      </c>
      <c r="F124" s="97" t="s">
        <v>16</v>
      </c>
      <c r="G124" s="44">
        <v>71</v>
      </c>
      <c r="H124" s="113">
        <v>482</v>
      </c>
      <c r="I124" s="113">
        <v>482</v>
      </c>
      <c r="J124" s="119">
        <f>I124-H124</f>
        <v>0</v>
      </c>
      <c r="K124" s="97">
        <v>350</v>
      </c>
      <c r="L124" s="97">
        <v>164.96</v>
      </c>
      <c r="M124" s="97" t="s">
        <v>99</v>
      </c>
      <c r="N124" s="91">
        <f>I124*P124/100</f>
        <v>241000</v>
      </c>
      <c r="O124" s="91">
        <f>K124*300</f>
        <v>105000</v>
      </c>
      <c r="P124" s="91">
        <v>50000</v>
      </c>
      <c r="Q124" s="91">
        <f>N124+O124</f>
        <v>346000</v>
      </c>
      <c r="R124" s="44"/>
      <c r="S124" s="128"/>
      <c r="T124" s="140">
        <v>70000</v>
      </c>
      <c r="U124" s="140">
        <f t="shared" si="34"/>
        <v>0</v>
      </c>
    </row>
    <row r="125" spans="1:21" ht="18" x14ac:dyDescent="0.2">
      <c r="A125" s="28">
        <v>103</v>
      </c>
      <c r="B125" s="44">
        <v>68</v>
      </c>
      <c r="C125" s="97" t="s">
        <v>288</v>
      </c>
      <c r="D125" s="97" t="s">
        <v>289</v>
      </c>
      <c r="E125" s="97">
        <v>12</v>
      </c>
      <c r="F125" s="97" t="s">
        <v>129</v>
      </c>
      <c r="G125" s="44">
        <v>97</v>
      </c>
      <c r="H125" s="113">
        <v>734</v>
      </c>
      <c r="I125" s="113">
        <v>734</v>
      </c>
      <c r="J125" s="119">
        <f>I125-H125</f>
        <v>0</v>
      </c>
      <c r="K125" s="97">
        <v>378</v>
      </c>
      <c r="L125" s="97">
        <v>121.55</v>
      </c>
      <c r="M125" s="97" t="s">
        <v>290</v>
      </c>
      <c r="N125" s="91">
        <f>I125*P125/100</f>
        <v>367000</v>
      </c>
      <c r="O125" s="91">
        <f>K125*300</f>
        <v>113400</v>
      </c>
      <c r="P125" s="91">
        <v>50000</v>
      </c>
      <c r="Q125" s="91">
        <f>N125+O125</f>
        <v>480400</v>
      </c>
      <c r="R125" s="44"/>
      <c r="S125" s="128"/>
      <c r="T125" s="140">
        <v>70000</v>
      </c>
      <c r="U125" s="140">
        <f t="shared" si="34"/>
        <v>0</v>
      </c>
    </row>
    <row r="126" spans="1:21" ht="18" x14ac:dyDescent="0.2">
      <c r="A126" s="28">
        <v>104</v>
      </c>
      <c r="B126" s="44">
        <v>70</v>
      </c>
      <c r="C126" s="97" t="s">
        <v>295</v>
      </c>
      <c r="D126" s="97" t="s">
        <v>296</v>
      </c>
      <c r="E126" s="97">
        <v>12</v>
      </c>
      <c r="F126" s="97" t="s">
        <v>293</v>
      </c>
      <c r="G126" s="44" t="s">
        <v>297</v>
      </c>
      <c r="H126" s="113">
        <v>380</v>
      </c>
      <c r="I126" s="113">
        <v>380</v>
      </c>
      <c r="J126" s="119">
        <f>I126-H126</f>
        <v>0</v>
      </c>
      <c r="K126" s="97">
        <v>240</v>
      </c>
      <c r="L126" s="97">
        <v>110.6</v>
      </c>
      <c r="M126" s="97" t="s">
        <v>298</v>
      </c>
      <c r="N126" s="91">
        <f>I126*P126/100</f>
        <v>190000</v>
      </c>
      <c r="O126" s="91">
        <f>K126*300</f>
        <v>72000</v>
      </c>
      <c r="P126" s="91">
        <v>50000</v>
      </c>
      <c r="Q126" s="91">
        <f>N126+O126</f>
        <v>262000</v>
      </c>
      <c r="R126" s="44"/>
      <c r="S126" s="128"/>
      <c r="T126" s="140">
        <v>70000</v>
      </c>
      <c r="U126" s="140">
        <f t="shared" si="34"/>
        <v>0</v>
      </c>
    </row>
    <row r="127" spans="1:21" s="122" customFormat="1" ht="18" x14ac:dyDescent="0.2">
      <c r="A127" s="3"/>
      <c r="B127" s="3"/>
      <c r="C127" s="3" t="s">
        <v>618</v>
      </c>
      <c r="D127" s="3"/>
      <c r="E127" s="3">
        <f>E126</f>
        <v>12</v>
      </c>
      <c r="F127" s="4"/>
      <c r="G127" s="3"/>
      <c r="H127" s="127">
        <f>SUM(H122:H126)</f>
        <v>3137</v>
      </c>
      <c r="I127" s="127">
        <f t="shared" ref="I127:L127" si="45">SUM(I122:I126)</f>
        <v>3137</v>
      </c>
      <c r="J127" s="127">
        <f t="shared" si="45"/>
        <v>0</v>
      </c>
      <c r="K127" s="127">
        <f t="shared" si="45"/>
        <v>1715</v>
      </c>
      <c r="L127" s="127">
        <f t="shared" si="45"/>
        <v>729.39</v>
      </c>
      <c r="M127" s="4"/>
      <c r="N127" s="128"/>
      <c r="O127" s="128"/>
      <c r="P127" s="128"/>
      <c r="Q127" s="128">
        <f>SUM(Q122:Q126)</f>
        <v>2083000</v>
      </c>
      <c r="R127" s="3">
        <v>111</v>
      </c>
      <c r="S127" s="128">
        <f t="shared" si="33"/>
        <v>18765.765765765766</v>
      </c>
      <c r="T127" s="140">
        <v>70000</v>
      </c>
      <c r="U127" s="140">
        <f t="shared" si="34"/>
        <v>7770000</v>
      </c>
    </row>
    <row r="128" spans="1:21" s="122" customFormat="1" ht="18" x14ac:dyDescent="0.2">
      <c r="A128" s="3"/>
      <c r="B128" s="3"/>
      <c r="C128" s="3"/>
      <c r="D128" s="3"/>
      <c r="E128" s="3"/>
      <c r="F128" s="4"/>
      <c r="G128" s="3"/>
      <c r="H128" s="127"/>
      <c r="I128" s="127"/>
      <c r="J128" s="127"/>
      <c r="K128" s="127"/>
      <c r="L128" s="127"/>
      <c r="M128" s="4"/>
      <c r="N128" s="128"/>
      <c r="O128" s="128"/>
      <c r="P128" s="128"/>
      <c r="Q128" s="128"/>
      <c r="R128" s="3"/>
      <c r="S128" s="128"/>
      <c r="T128" s="140">
        <v>70000</v>
      </c>
      <c r="U128" s="140">
        <f t="shared" si="34"/>
        <v>0</v>
      </c>
    </row>
    <row r="129" spans="1:21" ht="18" x14ac:dyDescent="0.2">
      <c r="A129" s="28">
        <v>105</v>
      </c>
      <c r="B129" s="44">
        <v>67</v>
      </c>
      <c r="C129" s="97" t="s">
        <v>285</v>
      </c>
      <c r="D129" s="97" t="s">
        <v>286</v>
      </c>
      <c r="E129" s="97">
        <v>13</v>
      </c>
      <c r="F129" s="97" t="s">
        <v>16</v>
      </c>
      <c r="G129" s="44">
        <v>95</v>
      </c>
      <c r="H129" s="113">
        <v>830</v>
      </c>
      <c r="I129" s="97">
        <v>877</v>
      </c>
      <c r="J129" s="119">
        <f t="shared" ref="J129:J142" si="46">I129-H129</f>
        <v>47</v>
      </c>
      <c r="K129" s="97">
        <v>274</v>
      </c>
      <c r="L129" s="97">
        <v>70</v>
      </c>
      <c r="M129" s="97" t="s">
        <v>287</v>
      </c>
      <c r="N129" s="91">
        <f t="shared" ref="N129:N142" si="47">I129*P129/100</f>
        <v>438500</v>
      </c>
      <c r="O129" s="91">
        <f t="shared" ref="O129:O142" si="48">K129*300</f>
        <v>82200</v>
      </c>
      <c r="P129" s="91">
        <v>50000</v>
      </c>
      <c r="Q129" s="91">
        <f t="shared" ref="Q129:Q142" si="49">N129+O129</f>
        <v>520700</v>
      </c>
      <c r="R129" s="44"/>
      <c r="S129" s="128"/>
      <c r="T129" s="140">
        <v>70000</v>
      </c>
      <c r="U129" s="140">
        <f t="shared" si="34"/>
        <v>0</v>
      </c>
    </row>
    <row r="130" spans="1:21" ht="18" x14ac:dyDescent="0.2">
      <c r="A130" s="28">
        <v>106</v>
      </c>
      <c r="B130" s="44">
        <v>69</v>
      </c>
      <c r="C130" s="97" t="s">
        <v>291</v>
      </c>
      <c r="D130" s="97" t="s">
        <v>292</v>
      </c>
      <c r="E130" s="97">
        <v>13</v>
      </c>
      <c r="F130" s="97" t="s">
        <v>293</v>
      </c>
      <c r="G130" s="44">
        <v>121</v>
      </c>
      <c r="H130" s="113">
        <v>520</v>
      </c>
      <c r="I130" s="113">
        <v>520</v>
      </c>
      <c r="J130" s="119">
        <f t="shared" si="46"/>
        <v>0</v>
      </c>
      <c r="K130" s="97">
        <v>305</v>
      </c>
      <c r="L130" s="97">
        <v>132.96</v>
      </c>
      <c r="M130" s="97" t="s">
        <v>294</v>
      </c>
      <c r="N130" s="91">
        <f t="shared" si="47"/>
        <v>260000</v>
      </c>
      <c r="O130" s="91">
        <f t="shared" si="48"/>
        <v>91500</v>
      </c>
      <c r="P130" s="91">
        <v>50000</v>
      </c>
      <c r="Q130" s="91">
        <f t="shared" si="49"/>
        <v>351500</v>
      </c>
      <c r="R130" s="44"/>
      <c r="S130" s="128"/>
      <c r="T130" s="140">
        <v>70000</v>
      </c>
      <c r="U130" s="140">
        <f t="shared" si="34"/>
        <v>0</v>
      </c>
    </row>
    <row r="131" spans="1:21" ht="18" x14ac:dyDescent="0.2">
      <c r="A131" s="28">
        <v>107</v>
      </c>
      <c r="B131" s="44">
        <v>71</v>
      </c>
      <c r="C131" s="97" t="s">
        <v>299</v>
      </c>
      <c r="D131" s="97" t="s">
        <v>300</v>
      </c>
      <c r="E131" s="97">
        <v>13</v>
      </c>
      <c r="F131" s="97" t="s">
        <v>293</v>
      </c>
      <c r="G131" s="44">
        <v>40</v>
      </c>
      <c r="H131" s="113">
        <v>500</v>
      </c>
      <c r="I131" s="113">
        <v>500</v>
      </c>
      <c r="J131" s="119">
        <f t="shared" si="46"/>
        <v>0</v>
      </c>
      <c r="K131" s="97">
        <v>333</v>
      </c>
      <c r="L131" s="97">
        <v>255.79</v>
      </c>
      <c r="M131" s="97" t="s">
        <v>301</v>
      </c>
      <c r="N131" s="91">
        <f t="shared" si="47"/>
        <v>250000</v>
      </c>
      <c r="O131" s="91">
        <f t="shared" si="48"/>
        <v>99900</v>
      </c>
      <c r="P131" s="91">
        <v>50000</v>
      </c>
      <c r="Q131" s="91">
        <f t="shared" si="49"/>
        <v>349900</v>
      </c>
      <c r="R131" s="44"/>
      <c r="S131" s="128"/>
      <c r="T131" s="140">
        <v>70000</v>
      </c>
      <c r="U131" s="140">
        <f t="shared" si="34"/>
        <v>0</v>
      </c>
    </row>
    <row r="132" spans="1:21" ht="18" x14ac:dyDescent="0.2">
      <c r="A132" s="28">
        <v>108</v>
      </c>
      <c r="B132" s="44">
        <v>72</v>
      </c>
      <c r="C132" s="97" t="s">
        <v>241</v>
      </c>
      <c r="D132" s="97" t="s">
        <v>302</v>
      </c>
      <c r="E132" s="97">
        <v>13</v>
      </c>
      <c r="F132" s="97" t="s">
        <v>303</v>
      </c>
      <c r="G132" s="44">
        <v>119</v>
      </c>
      <c r="H132" s="113">
        <v>600</v>
      </c>
      <c r="I132" s="97">
        <v>516</v>
      </c>
      <c r="J132" s="119">
        <f t="shared" si="46"/>
        <v>-84</v>
      </c>
      <c r="K132" s="97">
        <v>273</v>
      </c>
      <c r="L132" s="97">
        <v>55.1</v>
      </c>
      <c r="M132" s="97" t="s">
        <v>304</v>
      </c>
      <c r="N132" s="91">
        <f t="shared" si="47"/>
        <v>258000</v>
      </c>
      <c r="O132" s="91">
        <f t="shared" si="48"/>
        <v>81900</v>
      </c>
      <c r="P132" s="91">
        <v>50000</v>
      </c>
      <c r="Q132" s="91">
        <f t="shared" si="49"/>
        <v>339900</v>
      </c>
      <c r="R132" s="44"/>
      <c r="S132" s="128"/>
      <c r="T132" s="140">
        <v>70000</v>
      </c>
      <c r="U132" s="140">
        <f t="shared" si="34"/>
        <v>0</v>
      </c>
    </row>
    <row r="133" spans="1:21" ht="18" x14ac:dyDescent="0.2">
      <c r="A133" s="28">
        <v>109</v>
      </c>
      <c r="B133" s="44">
        <v>73</v>
      </c>
      <c r="C133" s="97" t="s">
        <v>305</v>
      </c>
      <c r="D133" s="97" t="s">
        <v>306</v>
      </c>
      <c r="E133" s="97">
        <v>13</v>
      </c>
      <c r="F133" s="97" t="s">
        <v>16</v>
      </c>
      <c r="G133" s="44">
        <v>63</v>
      </c>
      <c r="H133" s="113">
        <v>286</v>
      </c>
      <c r="I133" s="113">
        <v>286</v>
      </c>
      <c r="J133" s="119">
        <f t="shared" si="46"/>
        <v>0</v>
      </c>
      <c r="K133" s="97">
        <v>141</v>
      </c>
      <c r="L133" s="97">
        <v>93.53</v>
      </c>
      <c r="M133" s="97" t="s">
        <v>123</v>
      </c>
      <c r="N133" s="91">
        <f t="shared" si="47"/>
        <v>143000</v>
      </c>
      <c r="O133" s="91">
        <f t="shared" si="48"/>
        <v>42300</v>
      </c>
      <c r="P133" s="91">
        <v>50000</v>
      </c>
      <c r="Q133" s="91">
        <f t="shared" si="49"/>
        <v>185300</v>
      </c>
      <c r="R133" s="44"/>
      <c r="S133" s="128"/>
      <c r="T133" s="140">
        <v>70000</v>
      </c>
      <c r="U133" s="140">
        <f t="shared" si="34"/>
        <v>0</v>
      </c>
    </row>
    <row r="134" spans="1:21" ht="18" x14ac:dyDescent="0.2">
      <c r="A134" s="28">
        <v>110</v>
      </c>
      <c r="B134" s="44">
        <v>74</v>
      </c>
      <c r="C134" s="97" t="s">
        <v>307</v>
      </c>
      <c r="D134" s="97" t="s">
        <v>308</v>
      </c>
      <c r="E134" s="97">
        <v>13</v>
      </c>
      <c r="F134" s="97" t="s">
        <v>16</v>
      </c>
      <c r="G134" s="44">
        <v>107</v>
      </c>
      <c r="H134" s="113">
        <v>660</v>
      </c>
      <c r="I134" s="113">
        <v>660</v>
      </c>
      <c r="J134" s="119">
        <f t="shared" si="46"/>
        <v>0</v>
      </c>
      <c r="K134" s="97">
        <v>404</v>
      </c>
      <c r="L134" s="97">
        <v>110.21</v>
      </c>
      <c r="M134" s="97" t="s">
        <v>309</v>
      </c>
      <c r="N134" s="91">
        <f t="shared" si="47"/>
        <v>330000</v>
      </c>
      <c r="O134" s="91">
        <f t="shared" si="48"/>
        <v>121200</v>
      </c>
      <c r="P134" s="91">
        <v>50000</v>
      </c>
      <c r="Q134" s="91">
        <f t="shared" si="49"/>
        <v>451200</v>
      </c>
      <c r="R134" s="44"/>
      <c r="S134" s="128"/>
      <c r="T134" s="140">
        <v>70000</v>
      </c>
      <c r="U134" s="140">
        <f t="shared" si="34"/>
        <v>0</v>
      </c>
    </row>
    <row r="135" spans="1:21" ht="18" x14ac:dyDescent="0.2">
      <c r="A135" s="28">
        <v>111</v>
      </c>
      <c r="B135" s="44">
        <v>75</v>
      </c>
      <c r="C135" s="97" t="s">
        <v>307</v>
      </c>
      <c r="D135" s="97" t="s">
        <v>310</v>
      </c>
      <c r="E135" s="97">
        <v>13</v>
      </c>
      <c r="F135" s="97" t="s">
        <v>16</v>
      </c>
      <c r="G135" s="44">
        <v>105</v>
      </c>
      <c r="H135" s="113">
        <v>1592</v>
      </c>
      <c r="I135" s="97">
        <v>663</v>
      </c>
      <c r="J135" s="119">
        <f t="shared" si="46"/>
        <v>-929</v>
      </c>
      <c r="K135" s="97">
        <v>146</v>
      </c>
      <c r="L135" s="97">
        <v>72.12</v>
      </c>
      <c r="M135" s="97" t="s">
        <v>196</v>
      </c>
      <c r="N135" s="91">
        <f t="shared" si="47"/>
        <v>331500</v>
      </c>
      <c r="O135" s="91">
        <f t="shared" si="48"/>
        <v>43800</v>
      </c>
      <c r="P135" s="91">
        <v>50000</v>
      </c>
      <c r="Q135" s="91">
        <f t="shared" si="49"/>
        <v>375300</v>
      </c>
      <c r="R135" s="44"/>
      <c r="S135" s="128"/>
      <c r="T135" s="140">
        <v>70000</v>
      </c>
      <c r="U135" s="140">
        <f t="shared" si="34"/>
        <v>0</v>
      </c>
    </row>
    <row r="136" spans="1:21" ht="18" x14ac:dyDescent="0.2">
      <c r="A136" s="28">
        <v>112</v>
      </c>
      <c r="B136" s="44">
        <v>76</v>
      </c>
      <c r="C136" s="97" t="s">
        <v>311</v>
      </c>
      <c r="D136" s="97" t="s">
        <v>312</v>
      </c>
      <c r="E136" s="97">
        <v>13</v>
      </c>
      <c r="F136" s="97" t="s">
        <v>16</v>
      </c>
      <c r="G136" s="44" t="s">
        <v>313</v>
      </c>
      <c r="H136" s="113">
        <v>1592</v>
      </c>
      <c r="I136" s="97">
        <v>929</v>
      </c>
      <c r="J136" s="119">
        <f t="shared" si="46"/>
        <v>-663</v>
      </c>
      <c r="K136" s="97">
        <v>465</v>
      </c>
      <c r="L136" s="97">
        <v>224.02</v>
      </c>
      <c r="M136" s="97" t="s">
        <v>314</v>
      </c>
      <c r="N136" s="91">
        <f t="shared" si="47"/>
        <v>464500</v>
      </c>
      <c r="O136" s="91">
        <f t="shared" si="48"/>
        <v>139500</v>
      </c>
      <c r="P136" s="91">
        <v>50000</v>
      </c>
      <c r="Q136" s="91">
        <f t="shared" si="49"/>
        <v>604000</v>
      </c>
      <c r="R136" s="44"/>
      <c r="S136" s="128"/>
      <c r="T136" s="140">
        <v>70000</v>
      </c>
      <c r="U136" s="140">
        <f t="shared" si="34"/>
        <v>0</v>
      </c>
    </row>
    <row r="137" spans="1:21" ht="18" x14ac:dyDescent="0.2">
      <c r="A137" s="28">
        <v>113</v>
      </c>
      <c r="B137" s="44">
        <v>77</v>
      </c>
      <c r="C137" s="97" t="s">
        <v>315</v>
      </c>
      <c r="D137" s="97" t="s">
        <v>316</v>
      </c>
      <c r="E137" s="97">
        <v>13</v>
      </c>
      <c r="F137" s="97" t="s">
        <v>16</v>
      </c>
      <c r="G137" s="44">
        <v>103</v>
      </c>
      <c r="H137" s="113">
        <v>488</v>
      </c>
      <c r="I137" s="113">
        <v>488</v>
      </c>
      <c r="J137" s="119">
        <f t="shared" si="46"/>
        <v>0</v>
      </c>
      <c r="K137" s="97">
        <v>93</v>
      </c>
      <c r="L137" s="97">
        <v>39.4</v>
      </c>
      <c r="M137" s="97" t="s">
        <v>317</v>
      </c>
      <c r="N137" s="91">
        <f t="shared" si="47"/>
        <v>244000</v>
      </c>
      <c r="O137" s="91">
        <f t="shared" si="48"/>
        <v>27900</v>
      </c>
      <c r="P137" s="91">
        <v>50000</v>
      </c>
      <c r="Q137" s="91">
        <f t="shared" si="49"/>
        <v>271900</v>
      </c>
      <c r="R137" s="44"/>
      <c r="S137" s="128"/>
      <c r="T137" s="140">
        <v>70000</v>
      </c>
      <c r="U137" s="140">
        <f t="shared" si="34"/>
        <v>0</v>
      </c>
    </row>
    <row r="138" spans="1:21" ht="18" x14ac:dyDescent="0.2">
      <c r="A138" s="28">
        <v>114</v>
      </c>
      <c r="B138" s="44">
        <v>78</v>
      </c>
      <c r="C138" s="97" t="s">
        <v>241</v>
      </c>
      <c r="D138" s="97" t="s">
        <v>318</v>
      </c>
      <c r="E138" s="97">
        <v>13</v>
      </c>
      <c r="F138" s="97" t="s">
        <v>16</v>
      </c>
      <c r="G138" s="44">
        <v>101</v>
      </c>
      <c r="H138" s="113">
        <v>600</v>
      </c>
      <c r="I138" s="97">
        <v>670</v>
      </c>
      <c r="J138" s="119">
        <f t="shared" si="46"/>
        <v>70</v>
      </c>
      <c r="K138" s="97">
        <v>134</v>
      </c>
      <c r="L138" s="97">
        <v>43.11</v>
      </c>
      <c r="M138" s="97" t="s">
        <v>319</v>
      </c>
      <c r="N138" s="91">
        <f t="shared" si="47"/>
        <v>335000</v>
      </c>
      <c r="O138" s="91">
        <f t="shared" si="48"/>
        <v>40200</v>
      </c>
      <c r="P138" s="91">
        <v>50000</v>
      </c>
      <c r="Q138" s="91">
        <f t="shared" si="49"/>
        <v>375200</v>
      </c>
      <c r="R138" s="44"/>
      <c r="S138" s="128"/>
      <c r="T138" s="140">
        <v>70000</v>
      </c>
      <c r="U138" s="140">
        <f t="shared" si="34"/>
        <v>0</v>
      </c>
    </row>
    <row r="139" spans="1:21" ht="18" x14ac:dyDescent="0.2">
      <c r="A139" s="28">
        <v>115</v>
      </c>
      <c r="B139" s="44">
        <v>79</v>
      </c>
      <c r="C139" s="97" t="s">
        <v>320</v>
      </c>
      <c r="D139" s="97" t="s">
        <v>321</v>
      </c>
      <c r="E139" s="97">
        <v>13</v>
      </c>
      <c r="F139" s="97" t="s">
        <v>16</v>
      </c>
      <c r="G139" s="44">
        <v>1</v>
      </c>
      <c r="H139" s="113">
        <v>558</v>
      </c>
      <c r="I139" s="97">
        <v>572</v>
      </c>
      <c r="J139" s="119">
        <f t="shared" si="46"/>
        <v>14</v>
      </c>
      <c r="K139" s="97">
        <v>295</v>
      </c>
      <c r="L139" s="97">
        <v>99.59</v>
      </c>
      <c r="M139" s="97" t="s">
        <v>322</v>
      </c>
      <c r="N139" s="91">
        <f t="shared" si="47"/>
        <v>343200</v>
      </c>
      <c r="O139" s="91">
        <f t="shared" si="48"/>
        <v>88500</v>
      </c>
      <c r="P139" s="91">
        <v>60000</v>
      </c>
      <c r="Q139" s="91">
        <f t="shared" si="49"/>
        <v>431700</v>
      </c>
      <c r="R139" s="44"/>
      <c r="S139" s="128"/>
      <c r="T139" s="140">
        <v>70000</v>
      </c>
      <c r="U139" s="140">
        <f t="shared" si="34"/>
        <v>0</v>
      </c>
    </row>
    <row r="140" spans="1:21" ht="18" x14ac:dyDescent="0.2">
      <c r="A140" s="28">
        <v>116</v>
      </c>
      <c r="B140" s="44">
        <v>80</v>
      </c>
      <c r="C140" s="97" t="s">
        <v>323</v>
      </c>
      <c r="D140" s="97" t="s">
        <v>324</v>
      </c>
      <c r="E140" s="97">
        <v>13</v>
      </c>
      <c r="F140" s="97" t="s">
        <v>16</v>
      </c>
      <c r="G140" s="44">
        <v>3</v>
      </c>
      <c r="H140" s="113">
        <v>1310</v>
      </c>
      <c r="I140" s="113">
        <v>1310</v>
      </c>
      <c r="J140" s="119">
        <f t="shared" si="46"/>
        <v>0</v>
      </c>
      <c r="K140" s="97">
        <v>639</v>
      </c>
      <c r="L140" s="97">
        <v>269.67</v>
      </c>
      <c r="M140" s="97" t="s">
        <v>325</v>
      </c>
      <c r="N140" s="91">
        <f t="shared" si="47"/>
        <v>786000</v>
      </c>
      <c r="O140" s="91">
        <f t="shared" si="48"/>
        <v>191700</v>
      </c>
      <c r="P140" s="91">
        <v>60000</v>
      </c>
      <c r="Q140" s="91">
        <f t="shared" si="49"/>
        <v>977700</v>
      </c>
      <c r="R140" s="44"/>
      <c r="S140" s="128"/>
      <c r="T140" s="140">
        <v>70000</v>
      </c>
      <c r="U140" s="140">
        <f t="shared" si="34"/>
        <v>0</v>
      </c>
    </row>
    <row r="141" spans="1:21" ht="18" x14ac:dyDescent="0.2">
      <c r="A141" s="28">
        <v>117</v>
      </c>
      <c r="B141" s="44">
        <v>81</v>
      </c>
      <c r="C141" s="97" t="s">
        <v>326</v>
      </c>
      <c r="D141" s="97" t="s">
        <v>327</v>
      </c>
      <c r="E141" s="97">
        <v>13</v>
      </c>
      <c r="F141" s="97" t="s">
        <v>16</v>
      </c>
      <c r="G141" s="44" t="s">
        <v>328</v>
      </c>
      <c r="H141" s="113">
        <v>885</v>
      </c>
      <c r="I141" s="97">
        <v>904</v>
      </c>
      <c r="J141" s="119">
        <f t="shared" si="46"/>
        <v>19</v>
      </c>
      <c r="K141" s="97">
        <v>508</v>
      </c>
      <c r="L141" s="97">
        <v>125.99</v>
      </c>
      <c r="M141" s="97" t="s">
        <v>329</v>
      </c>
      <c r="N141" s="91">
        <f t="shared" si="47"/>
        <v>452000</v>
      </c>
      <c r="O141" s="91">
        <f t="shared" si="48"/>
        <v>152400</v>
      </c>
      <c r="P141" s="91">
        <v>50000</v>
      </c>
      <c r="Q141" s="91">
        <f t="shared" si="49"/>
        <v>604400</v>
      </c>
      <c r="R141" s="44"/>
      <c r="S141" s="128"/>
      <c r="T141" s="140">
        <v>70000</v>
      </c>
      <c r="U141" s="140">
        <f t="shared" si="34"/>
        <v>0</v>
      </c>
    </row>
    <row r="142" spans="1:21" ht="18" x14ac:dyDescent="0.2">
      <c r="A142" s="28">
        <v>118</v>
      </c>
      <c r="B142" s="44">
        <v>82</v>
      </c>
      <c r="C142" s="97" t="s">
        <v>330</v>
      </c>
      <c r="D142" s="97" t="s">
        <v>331</v>
      </c>
      <c r="E142" s="97">
        <v>13</v>
      </c>
      <c r="F142" s="97" t="s">
        <v>16</v>
      </c>
      <c r="G142" s="44" t="s">
        <v>332</v>
      </c>
      <c r="H142" s="113">
        <v>430</v>
      </c>
      <c r="I142" s="113">
        <v>430</v>
      </c>
      <c r="J142" s="119">
        <f t="shared" si="46"/>
        <v>0</v>
      </c>
      <c r="K142" s="97">
        <v>179</v>
      </c>
      <c r="L142" s="97">
        <v>28.6</v>
      </c>
      <c r="M142" s="97" t="s">
        <v>333</v>
      </c>
      <c r="N142" s="91">
        <f t="shared" si="47"/>
        <v>215000</v>
      </c>
      <c r="O142" s="91">
        <f t="shared" si="48"/>
        <v>53700</v>
      </c>
      <c r="P142" s="91">
        <v>50000</v>
      </c>
      <c r="Q142" s="91">
        <f t="shared" si="49"/>
        <v>268700</v>
      </c>
      <c r="R142" s="44"/>
      <c r="S142" s="128"/>
      <c r="T142" s="140">
        <v>70000</v>
      </c>
      <c r="U142" s="140">
        <f t="shared" si="34"/>
        <v>0</v>
      </c>
    </row>
    <row r="143" spans="1:21" s="120" customFormat="1" ht="18" x14ac:dyDescent="0.2">
      <c r="A143" s="28">
        <v>119</v>
      </c>
      <c r="B143" s="116">
        <v>155</v>
      </c>
      <c r="C143" s="60" t="s">
        <v>537</v>
      </c>
      <c r="D143" s="60" t="s">
        <v>539</v>
      </c>
      <c r="E143" s="44">
        <v>13</v>
      </c>
      <c r="F143" s="44" t="s">
        <v>538</v>
      </c>
      <c r="G143" s="44">
        <v>42</v>
      </c>
      <c r="H143" s="63">
        <v>2328</v>
      </c>
      <c r="I143" s="114">
        <f>H143/100</f>
        <v>23.28</v>
      </c>
      <c r="J143" s="114"/>
      <c r="K143" s="63"/>
      <c r="L143" s="65"/>
      <c r="M143" s="60" t="s">
        <v>540</v>
      </c>
      <c r="N143" s="61"/>
      <c r="O143" s="61"/>
      <c r="P143" s="61"/>
      <c r="Q143" s="91">
        <f>H143*1000</f>
        <v>2328000</v>
      </c>
      <c r="R143" s="61"/>
      <c r="S143" s="128"/>
      <c r="T143" s="140">
        <v>70000</v>
      </c>
      <c r="U143" s="140">
        <f t="shared" ref="U143:U206" si="50">R143*T143</f>
        <v>0</v>
      </c>
    </row>
    <row r="144" spans="1:21" s="122" customFormat="1" ht="18" x14ac:dyDescent="0.2">
      <c r="A144" s="3"/>
      <c r="B144" s="3"/>
      <c r="C144" s="3" t="s">
        <v>618</v>
      </c>
      <c r="D144" s="3"/>
      <c r="E144" s="3">
        <f>E143</f>
        <v>13</v>
      </c>
      <c r="F144" s="4"/>
      <c r="G144" s="3"/>
      <c r="H144" s="127">
        <f>SUM(H129:H143)</f>
        <v>13179</v>
      </c>
      <c r="I144" s="127">
        <f t="shared" ref="I144:L144" si="51">SUM(I129:I143)</f>
        <v>9348.2800000000007</v>
      </c>
      <c r="J144" s="127">
        <f t="shared" si="51"/>
        <v>-1526</v>
      </c>
      <c r="K144" s="127">
        <f t="shared" si="51"/>
        <v>4189</v>
      </c>
      <c r="L144" s="127">
        <f t="shared" si="51"/>
        <v>1620.09</v>
      </c>
      <c r="M144" s="4"/>
      <c r="N144" s="128"/>
      <c r="O144" s="128"/>
      <c r="P144" s="128"/>
      <c r="Q144" s="128">
        <f>SUM(Q129:Q143)</f>
        <v>8435400</v>
      </c>
      <c r="R144" s="3">
        <v>123</v>
      </c>
      <c r="S144" s="128">
        <f t="shared" ref="S144:S203" si="52">Q144/R144</f>
        <v>68580.487804878052</v>
      </c>
      <c r="T144" s="140">
        <v>70000</v>
      </c>
      <c r="U144" s="140">
        <f t="shared" si="50"/>
        <v>8610000</v>
      </c>
    </row>
    <row r="145" spans="1:21" s="122" customFormat="1" ht="18" x14ac:dyDescent="0.2">
      <c r="A145" s="3"/>
      <c r="B145" s="3"/>
      <c r="C145" s="3"/>
      <c r="D145" s="3"/>
      <c r="E145" s="3"/>
      <c r="F145" s="4"/>
      <c r="G145" s="3"/>
      <c r="H145" s="127"/>
      <c r="I145" s="127"/>
      <c r="J145" s="127"/>
      <c r="K145" s="127"/>
      <c r="L145" s="127"/>
      <c r="M145" s="4"/>
      <c r="N145" s="128"/>
      <c r="O145" s="128"/>
      <c r="P145" s="128"/>
      <c r="Q145" s="128"/>
      <c r="R145" s="3"/>
      <c r="S145" s="128"/>
      <c r="T145" s="140">
        <v>70000</v>
      </c>
      <c r="U145" s="140">
        <f t="shared" si="50"/>
        <v>0</v>
      </c>
    </row>
    <row r="146" spans="1:21" ht="18" x14ac:dyDescent="0.2">
      <c r="A146" s="28">
        <v>120</v>
      </c>
      <c r="B146" s="44">
        <v>86</v>
      </c>
      <c r="C146" s="97" t="s">
        <v>344</v>
      </c>
      <c r="D146" s="97" t="s">
        <v>345</v>
      </c>
      <c r="E146" s="97">
        <v>14</v>
      </c>
      <c r="F146" s="97" t="s">
        <v>16</v>
      </c>
      <c r="G146" s="44">
        <v>11</v>
      </c>
      <c r="H146" s="113">
        <v>631</v>
      </c>
      <c r="I146" s="113">
        <v>631</v>
      </c>
      <c r="J146" s="119">
        <f t="shared" ref="J146:J167" si="53">I146-H146</f>
        <v>0</v>
      </c>
      <c r="K146" s="97">
        <v>227</v>
      </c>
      <c r="L146" s="97">
        <v>107.48</v>
      </c>
      <c r="M146" s="97" t="s">
        <v>346</v>
      </c>
      <c r="N146" s="91">
        <f t="shared" ref="N146:N167" si="54">I146*P146/100</f>
        <v>315500</v>
      </c>
      <c r="O146" s="91">
        <f t="shared" ref="O146:O167" si="55">K146*300</f>
        <v>68100</v>
      </c>
      <c r="P146" s="91">
        <v>50000</v>
      </c>
      <c r="Q146" s="91">
        <f t="shared" ref="Q146:Q167" si="56">N146+O146</f>
        <v>383600</v>
      </c>
      <c r="R146" s="44"/>
      <c r="S146" s="128"/>
      <c r="T146" s="140">
        <v>70000</v>
      </c>
      <c r="U146" s="140">
        <f t="shared" si="50"/>
        <v>0</v>
      </c>
    </row>
    <row r="147" spans="1:21" ht="18" x14ac:dyDescent="0.2">
      <c r="A147" s="28">
        <v>121</v>
      </c>
      <c r="B147" s="44">
        <v>88</v>
      </c>
      <c r="C147" s="97" t="s">
        <v>350</v>
      </c>
      <c r="D147" s="97" t="s">
        <v>351</v>
      </c>
      <c r="E147" s="97">
        <v>14</v>
      </c>
      <c r="F147" s="97" t="s">
        <v>16</v>
      </c>
      <c r="G147" s="44" t="s">
        <v>352</v>
      </c>
      <c r="H147" s="113">
        <v>588</v>
      </c>
      <c r="I147" s="113">
        <v>588</v>
      </c>
      <c r="J147" s="119">
        <f t="shared" si="53"/>
        <v>0</v>
      </c>
      <c r="K147" s="97">
        <v>225</v>
      </c>
      <c r="L147" s="97">
        <v>179.76</v>
      </c>
      <c r="M147" s="97" t="s">
        <v>353</v>
      </c>
      <c r="N147" s="91">
        <f t="shared" si="54"/>
        <v>294000</v>
      </c>
      <c r="O147" s="91">
        <f t="shared" si="55"/>
        <v>67500</v>
      </c>
      <c r="P147" s="91">
        <v>50000</v>
      </c>
      <c r="Q147" s="91">
        <f t="shared" si="56"/>
        <v>361500</v>
      </c>
      <c r="R147" s="44"/>
      <c r="S147" s="128"/>
      <c r="T147" s="140">
        <v>70000</v>
      </c>
      <c r="U147" s="140">
        <f t="shared" si="50"/>
        <v>0</v>
      </c>
    </row>
    <row r="148" spans="1:21" ht="18" x14ac:dyDescent="0.2">
      <c r="A148" s="28">
        <v>122</v>
      </c>
      <c r="B148" s="44">
        <v>89</v>
      </c>
      <c r="C148" s="97" t="s">
        <v>354</v>
      </c>
      <c r="D148" s="97" t="s">
        <v>355</v>
      </c>
      <c r="E148" s="97">
        <v>14</v>
      </c>
      <c r="F148" s="97" t="s">
        <v>16</v>
      </c>
      <c r="G148" s="44">
        <v>20</v>
      </c>
      <c r="H148" s="113">
        <v>600</v>
      </c>
      <c r="I148" s="113">
        <v>600</v>
      </c>
      <c r="J148" s="119">
        <f t="shared" si="53"/>
        <v>0</v>
      </c>
      <c r="K148" s="97">
        <v>360</v>
      </c>
      <c r="L148" s="97">
        <v>137.62</v>
      </c>
      <c r="M148" s="97" t="s">
        <v>356</v>
      </c>
      <c r="N148" s="91">
        <f t="shared" si="54"/>
        <v>360000</v>
      </c>
      <c r="O148" s="91">
        <f t="shared" si="55"/>
        <v>108000</v>
      </c>
      <c r="P148" s="91">
        <v>60000</v>
      </c>
      <c r="Q148" s="91">
        <f t="shared" si="56"/>
        <v>468000</v>
      </c>
      <c r="R148" s="44"/>
      <c r="S148" s="128"/>
      <c r="T148" s="140">
        <v>70000</v>
      </c>
      <c r="U148" s="140">
        <f t="shared" si="50"/>
        <v>0</v>
      </c>
    </row>
    <row r="149" spans="1:21" ht="18" x14ac:dyDescent="0.2">
      <c r="A149" s="28">
        <v>123</v>
      </c>
      <c r="B149" s="44">
        <v>90</v>
      </c>
      <c r="C149" s="97" t="s">
        <v>357</v>
      </c>
      <c r="D149" s="97" t="s">
        <v>358</v>
      </c>
      <c r="E149" s="97">
        <v>14</v>
      </c>
      <c r="F149" s="97" t="s">
        <v>16</v>
      </c>
      <c r="G149" s="44" t="s">
        <v>359</v>
      </c>
      <c r="H149" s="113">
        <v>300</v>
      </c>
      <c r="I149" s="97">
        <v>295</v>
      </c>
      <c r="J149" s="119">
        <f t="shared" si="53"/>
        <v>-5</v>
      </c>
      <c r="K149" s="97">
        <v>295</v>
      </c>
      <c r="L149" s="97">
        <v>31.36</v>
      </c>
      <c r="M149" s="97" t="s">
        <v>360</v>
      </c>
      <c r="N149" s="91">
        <f t="shared" si="54"/>
        <v>177000</v>
      </c>
      <c r="O149" s="91">
        <f t="shared" si="55"/>
        <v>88500</v>
      </c>
      <c r="P149" s="91">
        <v>60000</v>
      </c>
      <c r="Q149" s="91">
        <f t="shared" si="56"/>
        <v>265500</v>
      </c>
      <c r="R149" s="44"/>
      <c r="S149" s="128"/>
      <c r="T149" s="140">
        <v>70000</v>
      </c>
      <c r="U149" s="140">
        <f t="shared" si="50"/>
        <v>0</v>
      </c>
    </row>
    <row r="150" spans="1:21" ht="18" x14ac:dyDescent="0.2">
      <c r="A150" s="28">
        <v>124</v>
      </c>
      <c r="B150" s="44">
        <v>91</v>
      </c>
      <c r="C150" s="97" t="s">
        <v>361</v>
      </c>
      <c r="D150" s="97" t="s">
        <v>362</v>
      </c>
      <c r="E150" s="97">
        <v>14</v>
      </c>
      <c r="F150" s="97" t="s">
        <v>363</v>
      </c>
      <c r="G150" s="44" t="s">
        <v>364</v>
      </c>
      <c r="H150" s="113">
        <v>171</v>
      </c>
      <c r="I150" s="113">
        <v>171</v>
      </c>
      <c r="J150" s="119">
        <f t="shared" si="53"/>
        <v>0</v>
      </c>
      <c r="K150" s="97">
        <v>102</v>
      </c>
      <c r="L150" s="97">
        <v>50.64</v>
      </c>
      <c r="M150" s="97" t="s">
        <v>615</v>
      </c>
      <c r="N150" s="91">
        <f t="shared" si="54"/>
        <v>85500</v>
      </c>
      <c r="O150" s="91">
        <f t="shared" si="55"/>
        <v>30600</v>
      </c>
      <c r="P150" s="91">
        <v>50000</v>
      </c>
      <c r="Q150" s="91">
        <f t="shared" si="56"/>
        <v>116100</v>
      </c>
      <c r="R150" s="44"/>
      <c r="S150" s="128"/>
      <c r="T150" s="140">
        <v>70000</v>
      </c>
      <c r="U150" s="140">
        <f t="shared" si="50"/>
        <v>0</v>
      </c>
    </row>
    <row r="151" spans="1:21" ht="18" x14ac:dyDescent="0.2">
      <c r="A151" s="28">
        <v>125</v>
      </c>
      <c r="B151" s="44">
        <v>92</v>
      </c>
      <c r="C151" s="97" t="s">
        <v>366</v>
      </c>
      <c r="D151" s="97" t="s">
        <v>367</v>
      </c>
      <c r="E151" s="97">
        <v>14</v>
      </c>
      <c r="F151" s="97" t="s">
        <v>303</v>
      </c>
      <c r="G151" s="44">
        <v>18</v>
      </c>
      <c r="H151" s="113">
        <v>674</v>
      </c>
      <c r="I151" s="97">
        <v>503</v>
      </c>
      <c r="J151" s="119">
        <f t="shared" si="53"/>
        <v>-171</v>
      </c>
      <c r="K151" s="97">
        <v>284</v>
      </c>
      <c r="L151" s="97">
        <v>161.47999999999999</v>
      </c>
      <c r="M151" s="97" t="s">
        <v>368</v>
      </c>
      <c r="N151" s="91">
        <f t="shared" si="54"/>
        <v>251500</v>
      </c>
      <c r="O151" s="91">
        <f t="shared" si="55"/>
        <v>85200</v>
      </c>
      <c r="P151" s="91">
        <v>50000</v>
      </c>
      <c r="Q151" s="91">
        <f t="shared" si="56"/>
        <v>336700</v>
      </c>
      <c r="R151" s="44"/>
      <c r="S151" s="128"/>
      <c r="T151" s="140">
        <v>70000</v>
      </c>
      <c r="U151" s="140">
        <f t="shared" si="50"/>
        <v>0</v>
      </c>
    </row>
    <row r="152" spans="1:21" ht="18" x14ac:dyDescent="0.2">
      <c r="A152" s="28">
        <v>126</v>
      </c>
      <c r="B152" s="44">
        <v>93</v>
      </c>
      <c r="C152" s="97" t="s">
        <v>369</v>
      </c>
      <c r="D152" s="97" t="s">
        <v>370</v>
      </c>
      <c r="E152" s="97">
        <v>14</v>
      </c>
      <c r="F152" s="97" t="s">
        <v>16</v>
      </c>
      <c r="G152" s="44">
        <v>22</v>
      </c>
      <c r="H152" s="113">
        <v>300</v>
      </c>
      <c r="I152" s="113">
        <v>300</v>
      </c>
      <c r="J152" s="119">
        <f t="shared" si="53"/>
        <v>0</v>
      </c>
      <c r="K152" s="97">
        <v>64</v>
      </c>
      <c r="L152" s="97">
        <v>35.06</v>
      </c>
      <c r="M152" s="97" t="s">
        <v>371</v>
      </c>
      <c r="N152" s="91">
        <f t="shared" si="54"/>
        <v>180000</v>
      </c>
      <c r="O152" s="91">
        <f t="shared" si="55"/>
        <v>19200</v>
      </c>
      <c r="P152" s="91">
        <v>60000</v>
      </c>
      <c r="Q152" s="91">
        <f t="shared" si="56"/>
        <v>199200</v>
      </c>
      <c r="R152" s="44"/>
      <c r="S152" s="128"/>
      <c r="T152" s="140">
        <v>70000</v>
      </c>
      <c r="U152" s="140">
        <f t="shared" si="50"/>
        <v>0</v>
      </c>
    </row>
    <row r="153" spans="1:21" ht="18" x14ac:dyDescent="0.2">
      <c r="A153" s="28">
        <v>127</v>
      </c>
      <c r="B153" s="44">
        <v>94</v>
      </c>
      <c r="C153" s="97" t="s">
        <v>372</v>
      </c>
      <c r="D153" s="97" t="s">
        <v>373</v>
      </c>
      <c r="E153" s="97">
        <v>14</v>
      </c>
      <c r="F153" s="97" t="s">
        <v>16</v>
      </c>
      <c r="G153" s="44" t="s">
        <v>374</v>
      </c>
      <c r="H153" s="113">
        <v>340</v>
      </c>
      <c r="I153" s="97">
        <v>340</v>
      </c>
      <c r="J153" s="119">
        <f t="shared" si="53"/>
        <v>0</v>
      </c>
      <c r="K153" s="97">
        <v>244</v>
      </c>
      <c r="L153" s="97">
        <v>139.44999999999999</v>
      </c>
      <c r="M153" s="97" t="s">
        <v>375</v>
      </c>
      <c r="N153" s="91">
        <f t="shared" si="54"/>
        <v>204000</v>
      </c>
      <c r="O153" s="91">
        <f t="shared" si="55"/>
        <v>73200</v>
      </c>
      <c r="P153" s="91">
        <v>60000</v>
      </c>
      <c r="Q153" s="91">
        <f t="shared" si="56"/>
        <v>277200</v>
      </c>
      <c r="R153" s="44"/>
      <c r="S153" s="128"/>
      <c r="T153" s="140">
        <v>70000</v>
      </c>
      <c r="U153" s="140">
        <f t="shared" si="50"/>
        <v>0</v>
      </c>
    </row>
    <row r="154" spans="1:21" ht="18" x14ac:dyDescent="0.2">
      <c r="A154" s="28">
        <v>128</v>
      </c>
      <c r="B154" s="44">
        <v>95</v>
      </c>
      <c r="C154" s="97" t="s">
        <v>376</v>
      </c>
      <c r="D154" s="97" t="s">
        <v>377</v>
      </c>
      <c r="E154" s="97">
        <v>14</v>
      </c>
      <c r="F154" s="97" t="s">
        <v>16</v>
      </c>
      <c r="G154" s="44">
        <v>24</v>
      </c>
      <c r="H154" s="113">
        <v>600</v>
      </c>
      <c r="I154" s="97">
        <v>774</v>
      </c>
      <c r="J154" s="119">
        <f t="shared" si="53"/>
        <v>174</v>
      </c>
      <c r="K154" s="97">
        <v>223</v>
      </c>
      <c r="L154" s="97">
        <v>129.63999999999999</v>
      </c>
      <c r="M154" s="97" t="s">
        <v>378</v>
      </c>
      <c r="N154" s="91">
        <f t="shared" si="54"/>
        <v>464400</v>
      </c>
      <c r="O154" s="91">
        <f t="shared" si="55"/>
        <v>66900</v>
      </c>
      <c r="P154" s="91">
        <v>60000</v>
      </c>
      <c r="Q154" s="91">
        <f t="shared" si="56"/>
        <v>531300</v>
      </c>
      <c r="R154" s="44"/>
      <c r="S154" s="128"/>
      <c r="T154" s="140">
        <v>70000</v>
      </c>
      <c r="U154" s="140">
        <f t="shared" si="50"/>
        <v>0</v>
      </c>
    </row>
    <row r="155" spans="1:21" ht="18" x14ac:dyDescent="0.2">
      <c r="A155" s="28">
        <v>129</v>
      </c>
      <c r="B155" s="44">
        <v>96</v>
      </c>
      <c r="C155" s="97" t="s">
        <v>379</v>
      </c>
      <c r="D155" s="97" t="s">
        <v>380</v>
      </c>
      <c r="E155" s="97">
        <v>14</v>
      </c>
      <c r="F155" s="97" t="s">
        <v>16</v>
      </c>
      <c r="G155" s="44">
        <v>26</v>
      </c>
      <c r="H155" s="113">
        <v>908</v>
      </c>
      <c r="I155" s="97">
        <v>893</v>
      </c>
      <c r="J155" s="119">
        <f t="shared" si="53"/>
        <v>-15</v>
      </c>
      <c r="K155" s="97">
        <v>485</v>
      </c>
      <c r="L155" s="97">
        <v>176.38</v>
      </c>
      <c r="M155" s="97" t="s">
        <v>381</v>
      </c>
      <c r="N155" s="91">
        <f t="shared" si="54"/>
        <v>535800</v>
      </c>
      <c r="O155" s="91">
        <f t="shared" si="55"/>
        <v>145500</v>
      </c>
      <c r="P155" s="91">
        <v>60000</v>
      </c>
      <c r="Q155" s="91">
        <f t="shared" si="56"/>
        <v>681300</v>
      </c>
      <c r="R155" s="44"/>
      <c r="S155" s="128"/>
      <c r="T155" s="140">
        <v>70000</v>
      </c>
      <c r="U155" s="140">
        <f t="shared" si="50"/>
        <v>0</v>
      </c>
    </row>
    <row r="156" spans="1:21" ht="18" x14ac:dyDescent="0.2">
      <c r="A156" s="28">
        <v>130</v>
      </c>
      <c r="B156" s="44">
        <v>97</v>
      </c>
      <c r="C156" s="97" t="s">
        <v>382</v>
      </c>
      <c r="D156" s="97" t="s">
        <v>383</v>
      </c>
      <c r="E156" s="97">
        <v>14</v>
      </c>
      <c r="F156" s="97" t="s">
        <v>16</v>
      </c>
      <c r="G156" s="44">
        <v>14</v>
      </c>
      <c r="H156" s="113">
        <v>600</v>
      </c>
      <c r="I156" s="113">
        <v>600</v>
      </c>
      <c r="J156" s="119">
        <f t="shared" si="53"/>
        <v>0</v>
      </c>
      <c r="K156" s="97">
        <v>296</v>
      </c>
      <c r="L156" s="97">
        <v>131.83000000000001</v>
      </c>
      <c r="M156" s="97" t="s">
        <v>384</v>
      </c>
      <c r="N156" s="91">
        <f t="shared" si="54"/>
        <v>300000</v>
      </c>
      <c r="O156" s="91">
        <f t="shared" si="55"/>
        <v>88800</v>
      </c>
      <c r="P156" s="91">
        <v>50000</v>
      </c>
      <c r="Q156" s="91">
        <f t="shared" si="56"/>
        <v>388800</v>
      </c>
      <c r="R156" s="44"/>
      <c r="S156" s="128"/>
      <c r="T156" s="140">
        <v>70000</v>
      </c>
      <c r="U156" s="140">
        <f t="shared" si="50"/>
        <v>0</v>
      </c>
    </row>
    <row r="157" spans="1:21" ht="18" x14ac:dyDescent="0.2">
      <c r="A157" s="28">
        <v>131</v>
      </c>
      <c r="B157" s="44">
        <v>98</v>
      </c>
      <c r="C157" s="97" t="s">
        <v>385</v>
      </c>
      <c r="D157" s="97" t="s">
        <v>386</v>
      </c>
      <c r="E157" s="97">
        <v>14</v>
      </c>
      <c r="F157" s="97" t="s">
        <v>16</v>
      </c>
      <c r="G157" s="44">
        <v>28</v>
      </c>
      <c r="H157" s="113">
        <v>847</v>
      </c>
      <c r="I157" s="97">
        <v>813</v>
      </c>
      <c r="J157" s="119">
        <f t="shared" si="53"/>
        <v>-34</v>
      </c>
      <c r="K157" s="97">
        <v>370</v>
      </c>
      <c r="L157" s="97">
        <v>275.27999999999997</v>
      </c>
      <c r="M157" s="97" t="s">
        <v>387</v>
      </c>
      <c r="N157" s="91">
        <f t="shared" si="54"/>
        <v>487800</v>
      </c>
      <c r="O157" s="91">
        <f t="shared" si="55"/>
        <v>111000</v>
      </c>
      <c r="P157" s="91">
        <v>60000</v>
      </c>
      <c r="Q157" s="91">
        <f t="shared" si="56"/>
        <v>598800</v>
      </c>
      <c r="R157" s="44"/>
      <c r="S157" s="128"/>
      <c r="T157" s="140">
        <v>70000</v>
      </c>
      <c r="U157" s="140">
        <f t="shared" si="50"/>
        <v>0</v>
      </c>
    </row>
    <row r="158" spans="1:21" ht="18" x14ac:dyDescent="0.2">
      <c r="A158" s="28">
        <v>132</v>
      </c>
      <c r="B158" s="44">
        <v>99</v>
      </c>
      <c r="C158" s="97" t="s">
        <v>388</v>
      </c>
      <c r="D158" s="97" t="s">
        <v>389</v>
      </c>
      <c r="E158" s="97">
        <v>14</v>
      </c>
      <c r="F158" s="97" t="s">
        <v>16</v>
      </c>
      <c r="G158" s="44">
        <v>47</v>
      </c>
      <c r="H158" s="113">
        <v>456</v>
      </c>
      <c r="I158" s="113">
        <v>456</v>
      </c>
      <c r="J158" s="119">
        <f t="shared" si="53"/>
        <v>0</v>
      </c>
      <c r="K158" s="97">
        <v>233</v>
      </c>
      <c r="L158" s="97">
        <v>59.55</v>
      </c>
      <c r="M158" s="97" t="s">
        <v>158</v>
      </c>
      <c r="N158" s="91">
        <f t="shared" si="54"/>
        <v>273600</v>
      </c>
      <c r="O158" s="91">
        <f t="shared" si="55"/>
        <v>69900</v>
      </c>
      <c r="P158" s="91">
        <v>60000</v>
      </c>
      <c r="Q158" s="91">
        <f t="shared" si="56"/>
        <v>343500</v>
      </c>
      <c r="R158" s="44"/>
      <c r="S158" s="128"/>
      <c r="T158" s="140">
        <v>70000</v>
      </c>
      <c r="U158" s="140">
        <f t="shared" si="50"/>
        <v>0</v>
      </c>
    </row>
    <row r="159" spans="1:21" ht="18" x14ac:dyDescent="0.2">
      <c r="A159" s="28">
        <v>133</v>
      </c>
      <c r="B159" s="44">
        <v>100</v>
      </c>
      <c r="C159" s="97" t="s">
        <v>390</v>
      </c>
      <c r="D159" s="97" t="s">
        <v>391</v>
      </c>
      <c r="E159" s="97">
        <v>14</v>
      </c>
      <c r="F159" s="97" t="s">
        <v>16</v>
      </c>
      <c r="G159" s="44" t="s">
        <v>392</v>
      </c>
      <c r="H159" s="113">
        <v>470</v>
      </c>
      <c r="I159" s="113">
        <v>470</v>
      </c>
      <c r="J159" s="119">
        <f t="shared" si="53"/>
        <v>0</v>
      </c>
      <c r="K159" s="97">
        <v>208</v>
      </c>
      <c r="L159" s="97">
        <v>76.64</v>
      </c>
      <c r="M159" s="97" t="s">
        <v>393</v>
      </c>
      <c r="N159" s="91">
        <f t="shared" si="54"/>
        <v>282000</v>
      </c>
      <c r="O159" s="91">
        <f t="shared" si="55"/>
        <v>62400</v>
      </c>
      <c r="P159" s="91">
        <v>60000</v>
      </c>
      <c r="Q159" s="91">
        <f t="shared" si="56"/>
        <v>344400</v>
      </c>
      <c r="R159" s="44"/>
      <c r="S159" s="128"/>
      <c r="T159" s="140">
        <v>70000</v>
      </c>
      <c r="U159" s="140">
        <f t="shared" si="50"/>
        <v>0</v>
      </c>
    </row>
    <row r="160" spans="1:21" ht="18" x14ac:dyDescent="0.2">
      <c r="A160" s="28">
        <v>134</v>
      </c>
      <c r="B160" s="44">
        <v>101</v>
      </c>
      <c r="C160" s="97" t="s">
        <v>394</v>
      </c>
      <c r="D160" s="97" t="s">
        <v>395</v>
      </c>
      <c r="E160" s="97">
        <v>14</v>
      </c>
      <c r="F160" s="97" t="s">
        <v>16</v>
      </c>
      <c r="G160" s="44" t="s">
        <v>396</v>
      </c>
      <c r="H160" s="113">
        <v>600</v>
      </c>
      <c r="I160" s="113">
        <v>600</v>
      </c>
      <c r="J160" s="119">
        <f t="shared" si="53"/>
        <v>0</v>
      </c>
      <c r="K160" s="97">
        <v>217</v>
      </c>
      <c r="L160" s="97">
        <v>32.6</v>
      </c>
      <c r="M160" s="97" t="s">
        <v>397</v>
      </c>
      <c r="N160" s="91">
        <f t="shared" si="54"/>
        <v>300000</v>
      </c>
      <c r="O160" s="91">
        <f t="shared" si="55"/>
        <v>65100</v>
      </c>
      <c r="P160" s="91">
        <v>50000</v>
      </c>
      <c r="Q160" s="91">
        <f t="shared" si="56"/>
        <v>365100</v>
      </c>
      <c r="R160" s="44"/>
      <c r="S160" s="128"/>
      <c r="T160" s="140">
        <v>70000</v>
      </c>
      <c r="U160" s="140">
        <f t="shared" si="50"/>
        <v>0</v>
      </c>
    </row>
    <row r="161" spans="1:21" ht="18" x14ac:dyDescent="0.2">
      <c r="A161" s="28">
        <v>135</v>
      </c>
      <c r="B161" s="44">
        <v>102</v>
      </c>
      <c r="C161" s="97" t="s">
        <v>398</v>
      </c>
      <c r="D161" s="97" t="s">
        <v>399</v>
      </c>
      <c r="E161" s="97">
        <v>14</v>
      </c>
      <c r="F161" s="97" t="s">
        <v>16</v>
      </c>
      <c r="G161" s="44">
        <v>49</v>
      </c>
      <c r="H161" s="113">
        <v>600</v>
      </c>
      <c r="I161" s="97">
        <v>580</v>
      </c>
      <c r="J161" s="119">
        <f t="shared" si="53"/>
        <v>-20</v>
      </c>
      <c r="K161" s="97">
        <v>463</v>
      </c>
      <c r="L161" s="97">
        <v>167.48</v>
      </c>
      <c r="M161" s="97" t="s">
        <v>196</v>
      </c>
      <c r="N161" s="91">
        <f t="shared" si="54"/>
        <v>290000</v>
      </c>
      <c r="O161" s="91">
        <f t="shared" si="55"/>
        <v>138900</v>
      </c>
      <c r="P161" s="91">
        <v>50000</v>
      </c>
      <c r="Q161" s="91">
        <f t="shared" si="56"/>
        <v>428900</v>
      </c>
      <c r="R161" s="44"/>
      <c r="S161" s="128"/>
      <c r="T161" s="140">
        <v>70000</v>
      </c>
      <c r="U161" s="140">
        <f t="shared" si="50"/>
        <v>0</v>
      </c>
    </row>
    <row r="162" spans="1:21" ht="18" x14ac:dyDescent="0.2">
      <c r="A162" s="28">
        <v>136</v>
      </c>
      <c r="B162" s="44">
        <v>103</v>
      </c>
      <c r="C162" s="97" t="s">
        <v>400</v>
      </c>
      <c r="D162" s="97" t="s">
        <v>401</v>
      </c>
      <c r="E162" s="97">
        <v>14</v>
      </c>
      <c r="F162" s="97" t="s">
        <v>16</v>
      </c>
      <c r="G162" s="44">
        <v>5</v>
      </c>
      <c r="H162" s="113">
        <v>600</v>
      </c>
      <c r="I162" s="113">
        <v>600</v>
      </c>
      <c r="J162" s="119">
        <f t="shared" si="53"/>
        <v>0</v>
      </c>
      <c r="K162" s="97">
        <v>540</v>
      </c>
      <c r="L162" s="97">
        <v>216.77</v>
      </c>
      <c r="M162" s="97" t="s">
        <v>402</v>
      </c>
      <c r="N162" s="91">
        <f t="shared" si="54"/>
        <v>300000</v>
      </c>
      <c r="O162" s="91">
        <f t="shared" si="55"/>
        <v>162000</v>
      </c>
      <c r="P162" s="91">
        <v>50000</v>
      </c>
      <c r="Q162" s="91">
        <f t="shared" si="56"/>
        <v>462000</v>
      </c>
      <c r="R162" s="44"/>
      <c r="S162" s="128"/>
      <c r="T162" s="140">
        <v>70000</v>
      </c>
      <c r="U162" s="140">
        <f t="shared" si="50"/>
        <v>0</v>
      </c>
    </row>
    <row r="163" spans="1:21" ht="18" x14ac:dyDescent="0.2">
      <c r="A163" s="28">
        <v>137</v>
      </c>
      <c r="B163" s="44">
        <v>104</v>
      </c>
      <c r="C163" s="97" t="s">
        <v>403</v>
      </c>
      <c r="D163" s="97" t="s">
        <v>404</v>
      </c>
      <c r="E163" s="97">
        <v>14</v>
      </c>
      <c r="F163" s="97" t="s">
        <v>16</v>
      </c>
      <c r="G163" s="44">
        <v>6</v>
      </c>
      <c r="H163" s="113">
        <v>648</v>
      </c>
      <c r="I163" s="97">
        <v>605</v>
      </c>
      <c r="J163" s="119">
        <f t="shared" si="53"/>
        <v>-43</v>
      </c>
      <c r="K163" s="97">
        <v>402</v>
      </c>
      <c r="L163" s="97">
        <v>197.97</v>
      </c>
      <c r="M163" s="97" t="s">
        <v>405</v>
      </c>
      <c r="N163" s="91">
        <f t="shared" si="54"/>
        <v>302500</v>
      </c>
      <c r="O163" s="91">
        <f t="shared" si="55"/>
        <v>120600</v>
      </c>
      <c r="P163" s="91">
        <v>50000</v>
      </c>
      <c r="Q163" s="91">
        <f t="shared" si="56"/>
        <v>423100</v>
      </c>
      <c r="R163" s="44"/>
      <c r="S163" s="128"/>
      <c r="T163" s="140">
        <v>70000</v>
      </c>
      <c r="U163" s="140">
        <f t="shared" si="50"/>
        <v>0</v>
      </c>
    </row>
    <row r="164" spans="1:21" ht="18" x14ac:dyDescent="0.2">
      <c r="A164" s="28">
        <v>138</v>
      </c>
      <c r="B164" s="44">
        <v>105</v>
      </c>
      <c r="C164" s="97" t="s">
        <v>406</v>
      </c>
      <c r="D164" s="97" t="s">
        <v>407</v>
      </c>
      <c r="E164" s="97">
        <v>14</v>
      </c>
      <c r="F164" s="97" t="s">
        <v>16</v>
      </c>
      <c r="G164" s="44">
        <v>51</v>
      </c>
      <c r="H164" s="113">
        <v>791</v>
      </c>
      <c r="I164" s="97">
        <v>1270</v>
      </c>
      <c r="J164" s="119">
        <f t="shared" si="53"/>
        <v>479</v>
      </c>
      <c r="K164" s="97">
        <v>475</v>
      </c>
      <c r="L164" s="97">
        <v>198.25</v>
      </c>
      <c r="M164" s="97" t="s">
        <v>408</v>
      </c>
      <c r="N164" s="91">
        <f t="shared" si="54"/>
        <v>635000</v>
      </c>
      <c r="O164" s="91">
        <f t="shared" si="55"/>
        <v>142500</v>
      </c>
      <c r="P164" s="91">
        <v>50000</v>
      </c>
      <c r="Q164" s="91">
        <f t="shared" si="56"/>
        <v>777500</v>
      </c>
      <c r="R164" s="44"/>
      <c r="S164" s="128"/>
      <c r="T164" s="140">
        <v>70000</v>
      </c>
      <c r="U164" s="140">
        <f t="shared" si="50"/>
        <v>0</v>
      </c>
    </row>
    <row r="165" spans="1:21" ht="18" x14ac:dyDescent="0.2">
      <c r="A165" s="28">
        <v>139</v>
      </c>
      <c r="B165" s="44">
        <v>106</v>
      </c>
      <c r="C165" s="97" t="s">
        <v>409</v>
      </c>
      <c r="D165" s="97" t="s">
        <v>410</v>
      </c>
      <c r="E165" s="97">
        <v>14</v>
      </c>
      <c r="F165" s="97" t="s">
        <v>16</v>
      </c>
      <c r="G165" s="44">
        <v>3</v>
      </c>
      <c r="H165" s="113">
        <v>600</v>
      </c>
      <c r="I165" s="97">
        <v>877</v>
      </c>
      <c r="J165" s="119">
        <f t="shared" si="53"/>
        <v>277</v>
      </c>
      <c r="K165" s="97">
        <v>409</v>
      </c>
      <c r="L165" s="97">
        <v>23.79</v>
      </c>
      <c r="M165" s="97" t="s">
        <v>126</v>
      </c>
      <c r="N165" s="91">
        <f t="shared" si="54"/>
        <v>438500</v>
      </c>
      <c r="O165" s="91">
        <f t="shared" si="55"/>
        <v>122700</v>
      </c>
      <c r="P165" s="91">
        <v>50000</v>
      </c>
      <c r="Q165" s="91">
        <f t="shared" si="56"/>
        <v>561200</v>
      </c>
      <c r="R165" s="44"/>
      <c r="S165" s="128"/>
      <c r="T165" s="140">
        <v>70000</v>
      </c>
      <c r="U165" s="140">
        <f t="shared" si="50"/>
        <v>0</v>
      </c>
    </row>
    <row r="166" spans="1:21" ht="18" x14ac:dyDescent="0.2">
      <c r="A166" s="28">
        <v>140</v>
      </c>
      <c r="B166" s="44">
        <v>107</v>
      </c>
      <c r="C166" s="97" t="s">
        <v>411</v>
      </c>
      <c r="D166" s="97" t="s">
        <v>412</v>
      </c>
      <c r="E166" s="97">
        <v>14</v>
      </c>
      <c r="F166" s="97" t="s">
        <v>16</v>
      </c>
      <c r="G166" s="44">
        <v>8</v>
      </c>
      <c r="H166" s="113">
        <v>672</v>
      </c>
      <c r="I166" s="113">
        <v>672</v>
      </c>
      <c r="J166" s="119">
        <f t="shared" si="53"/>
        <v>0</v>
      </c>
      <c r="K166" s="97">
        <v>406</v>
      </c>
      <c r="L166" s="97">
        <v>189.59</v>
      </c>
      <c r="M166" s="97" t="s">
        <v>413</v>
      </c>
      <c r="N166" s="91">
        <f t="shared" si="54"/>
        <v>336000</v>
      </c>
      <c r="O166" s="91">
        <f t="shared" si="55"/>
        <v>121800</v>
      </c>
      <c r="P166" s="91">
        <v>50000</v>
      </c>
      <c r="Q166" s="91">
        <f t="shared" si="56"/>
        <v>457800</v>
      </c>
      <c r="R166" s="44"/>
      <c r="S166" s="128"/>
      <c r="T166" s="140">
        <v>70000</v>
      </c>
      <c r="U166" s="140">
        <f t="shared" si="50"/>
        <v>0</v>
      </c>
    </row>
    <row r="167" spans="1:21" ht="18" x14ac:dyDescent="0.2">
      <c r="A167" s="28">
        <v>141</v>
      </c>
      <c r="B167" s="44">
        <v>161</v>
      </c>
      <c r="C167" s="97" t="s">
        <v>497</v>
      </c>
      <c r="D167" s="97" t="s">
        <v>498</v>
      </c>
      <c r="E167" s="97">
        <v>14</v>
      </c>
      <c r="F167" s="97" t="s">
        <v>16</v>
      </c>
      <c r="G167" s="44">
        <v>16</v>
      </c>
      <c r="H167" s="113">
        <v>458</v>
      </c>
      <c r="I167" s="113">
        <v>458</v>
      </c>
      <c r="J167" s="119">
        <f t="shared" si="53"/>
        <v>0</v>
      </c>
      <c r="K167" s="97">
        <v>328</v>
      </c>
      <c r="L167" s="97">
        <v>147.97</v>
      </c>
      <c r="M167" s="97" t="s">
        <v>499</v>
      </c>
      <c r="N167" s="91">
        <f t="shared" si="54"/>
        <v>229000</v>
      </c>
      <c r="O167" s="91">
        <f t="shared" si="55"/>
        <v>98400</v>
      </c>
      <c r="P167" s="91">
        <v>50000</v>
      </c>
      <c r="Q167" s="91">
        <f t="shared" si="56"/>
        <v>327400</v>
      </c>
      <c r="R167" s="44"/>
      <c r="S167" s="128"/>
      <c r="T167" s="140">
        <v>70000</v>
      </c>
      <c r="U167" s="140">
        <f t="shared" si="50"/>
        <v>0</v>
      </c>
    </row>
    <row r="168" spans="1:21" s="122" customFormat="1" ht="18" x14ac:dyDescent="0.2">
      <c r="A168" s="3"/>
      <c r="B168" s="3"/>
      <c r="C168" s="3" t="s">
        <v>618</v>
      </c>
      <c r="D168" s="3"/>
      <c r="E168" s="3">
        <v>14</v>
      </c>
      <c r="F168" s="4"/>
      <c r="G168" s="3"/>
      <c r="H168" s="127">
        <f>SUM(H146:H167)</f>
        <v>12454</v>
      </c>
      <c r="I168" s="127">
        <f t="shared" ref="I168:L168" si="57">SUM(I146:I167)</f>
        <v>13096</v>
      </c>
      <c r="J168" s="127">
        <f t="shared" si="57"/>
        <v>642</v>
      </c>
      <c r="K168" s="127">
        <f t="shared" si="57"/>
        <v>6856</v>
      </c>
      <c r="L168" s="127">
        <f t="shared" si="57"/>
        <v>2866.5899999999997</v>
      </c>
      <c r="M168" s="4"/>
      <c r="N168" s="128"/>
      <c r="O168" s="128"/>
      <c r="P168" s="128"/>
      <c r="Q168" s="128">
        <f>SUM(Q146:Q167)</f>
        <v>9098900</v>
      </c>
      <c r="R168" s="3">
        <v>88</v>
      </c>
      <c r="S168" s="128">
        <f t="shared" si="52"/>
        <v>103396.59090909091</v>
      </c>
      <c r="T168" s="140">
        <v>70000</v>
      </c>
      <c r="U168" s="140">
        <f t="shared" si="50"/>
        <v>6160000</v>
      </c>
    </row>
    <row r="169" spans="1:21" s="122" customFormat="1" ht="18" x14ac:dyDescent="0.2">
      <c r="A169" s="3"/>
      <c r="B169" s="3"/>
      <c r="C169" s="3"/>
      <c r="D169" s="3"/>
      <c r="E169" s="3"/>
      <c r="F169" s="4"/>
      <c r="G169" s="3"/>
      <c r="H169" s="127"/>
      <c r="I169" s="127"/>
      <c r="J169" s="127"/>
      <c r="K169" s="127"/>
      <c r="L169" s="127"/>
      <c r="M169" s="4"/>
      <c r="N169" s="128"/>
      <c r="O169" s="128"/>
      <c r="P169" s="128"/>
      <c r="Q169" s="128"/>
      <c r="R169" s="3"/>
      <c r="S169" s="128"/>
      <c r="T169" s="140"/>
      <c r="U169" s="140">
        <f t="shared" si="50"/>
        <v>0</v>
      </c>
    </row>
    <row r="170" spans="1:21" s="120" customFormat="1" ht="18" x14ac:dyDescent="0.2">
      <c r="A170" s="116">
        <v>142</v>
      </c>
      <c r="B170" s="116">
        <v>159</v>
      </c>
      <c r="C170" s="60" t="s">
        <v>548</v>
      </c>
      <c r="D170" s="60" t="s">
        <v>549</v>
      </c>
      <c r="E170" s="44">
        <v>16</v>
      </c>
      <c r="F170" s="44" t="s">
        <v>538</v>
      </c>
      <c r="G170" s="44">
        <v>34</v>
      </c>
      <c r="H170" s="63">
        <v>4285</v>
      </c>
      <c r="I170" s="114">
        <f t="shared" ref="I170" si="58">H170/100</f>
        <v>42.85</v>
      </c>
      <c r="J170" s="114"/>
      <c r="K170" s="63"/>
      <c r="L170" s="65"/>
      <c r="M170" s="60" t="s">
        <v>550</v>
      </c>
      <c r="N170" s="61"/>
      <c r="O170" s="61"/>
      <c r="P170" s="61"/>
      <c r="Q170" s="91">
        <f>H170*1000</f>
        <v>4285000</v>
      </c>
      <c r="R170" s="61"/>
      <c r="S170" s="128"/>
      <c r="T170" s="141"/>
      <c r="U170" s="140">
        <f t="shared" si="50"/>
        <v>0</v>
      </c>
    </row>
    <row r="171" spans="1:21" s="122" customFormat="1" ht="18" x14ac:dyDescent="0.2">
      <c r="A171" s="3"/>
      <c r="B171" s="3"/>
      <c r="C171" s="3" t="s">
        <v>618</v>
      </c>
      <c r="D171" s="3"/>
      <c r="E171" s="3">
        <f>E170</f>
        <v>16</v>
      </c>
      <c r="F171" s="4"/>
      <c r="G171" s="3"/>
      <c r="H171" s="127">
        <f>SUM(H170)</f>
        <v>4285</v>
      </c>
      <c r="I171" s="127">
        <f t="shared" ref="I171:L171" si="59">SUM(I170)</f>
        <v>42.85</v>
      </c>
      <c r="J171" s="127">
        <f t="shared" si="59"/>
        <v>0</v>
      </c>
      <c r="K171" s="127">
        <f t="shared" si="59"/>
        <v>0</v>
      </c>
      <c r="L171" s="127">
        <f t="shared" si="59"/>
        <v>0</v>
      </c>
      <c r="M171" s="4"/>
      <c r="N171" s="128"/>
      <c r="O171" s="128"/>
      <c r="P171" s="128"/>
      <c r="Q171" s="128">
        <f>SUM(Q170)</f>
        <v>4285000</v>
      </c>
      <c r="R171" s="3">
        <v>60</v>
      </c>
      <c r="S171" s="128">
        <f t="shared" si="52"/>
        <v>71416.666666666672</v>
      </c>
      <c r="T171" s="140">
        <v>100000</v>
      </c>
      <c r="U171" s="140">
        <f t="shared" si="50"/>
        <v>6000000</v>
      </c>
    </row>
    <row r="172" spans="1:21" s="130" customFormat="1" ht="18" x14ac:dyDescent="0.2">
      <c r="A172" s="3"/>
      <c r="B172" s="6"/>
      <c r="C172" s="3"/>
      <c r="D172" s="3"/>
      <c r="E172" s="3"/>
      <c r="F172" s="7"/>
      <c r="G172" s="6"/>
      <c r="H172" s="8"/>
      <c r="I172" s="8"/>
      <c r="J172" s="131"/>
      <c r="K172" s="7"/>
      <c r="L172" s="7"/>
      <c r="M172" s="7"/>
      <c r="N172" s="129"/>
      <c r="O172" s="129"/>
      <c r="P172" s="129"/>
      <c r="Q172" s="128"/>
      <c r="R172" s="6"/>
      <c r="S172" s="128"/>
      <c r="T172" s="140">
        <v>100000</v>
      </c>
      <c r="U172" s="140">
        <f t="shared" si="50"/>
        <v>0</v>
      </c>
    </row>
    <row r="173" spans="1:21" s="120" customFormat="1" ht="18" x14ac:dyDescent="0.2">
      <c r="A173" s="116">
        <v>143</v>
      </c>
      <c r="B173" s="116">
        <v>158</v>
      </c>
      <c r="C173" s="60" t="s">
        <v>544</v>
      </c>
      <c r="D173" s="60" t="s">
        <v>546</v>
      </c>
      <c r="E173" s="44">
        <v>17</v>
      </c>
      <c r="F173" s="44" t="s">
        <v>545</v>
      </c>
      <c r="G173" s="60"/>
      <c r="H173" s="63">
        <v>333</v>
      </c>
      <c r="I173" s="114">
        <f t="shared" ref="I173" si="60">H173/100</f>
        <v>3.33</v>
      </c>
      <c r="J173" s="114"/>
      <c r="K173" s="63"/>
      <c r="L173" s="65"/>
      <c r="M173" s="60" t="s">
        <v>547</v>
      </c>
      <c r="N173" s="61"/>
      <c r="O173" s="61"/>
      <c r="P173" s="61"/>
      <c r="Q173" s="91">
        <f t="shared" ref="Q173" si="61">H173*1000</f>
        <v>333000</v>
      </c>
      <c r="R173" s="61"/>
      <c r="S173" s="128"/>
      <c r="T173" s="140">
        <v>100000</v>
      </c>
      <c r="U173" s="140">
        <f t="shared" si="50"/>
        <v>0</v>
      </c>
    </row>
    <row r="174" spans="1:21" s="120" customFormat="1" ht="18" x14ac:dyDescent="0.2">
      <c r="A174" s="116">
        <v>144</v>
      </c>
      <c r="B174" s="116">
        <v>2</v>
      </c>
      <c r="C174" s="60" t="s">
        <v>564</v>
      </c>
      <c r="D174" s="60" t="s">
        <v>565</v>
      </c>
      <c r="E174" s="44">
        <v>17</v>
      </c>
      <c r="F174" s="44" t="s">
        <v>538</v>
      </c>
      <c r="G174" s="44">
        <v>34</v>
      </c>
      <c r="H174" s="63">
        <v>42507</v>
      </c>
      <c r="I174" s="115">
        <f>H174/100</f>
        <v>425.07</v>
      </c>
      <c r="J174" s="115"/>
      <c r="K174" s="61"/>
      <c r="L174" s="65"/>
      <c r="M174" s="60" t="s">
        <v>566</v>
      </c>
      <c r="N174" s="61"/>
      <c r="O174" s="61"/>
      <c r="P174" s="61"/>
      <c r="Q174" s="91">
        <v>15000000</v>
      </c>
      <c r="R174" s="61"/>
      <c r="S174" s="128"/>
      <c r="T174" s="140">
        <v>100000</v>
      </c>
      <c r="U174" s="140">
        <f t="shared" si="50"/>
        <v>0</v>
      </c>
    </row>
    <row r="175" spans="1:21" s="136" customFormat="1" ht="18" x14ac:dyDescent="0.2">
      <c r="A175" s="52"/>
      <c r="B175" s="52"/>
      <c r="C175" s="3" t="s">
        <v>618</v>
      </c>
      <c r="D175" s="3"/>
      <c r="E175" s="3">
        <f>E174</f>
        <v>17</v>
      </c>
      <c r="F175" s="53"/>
      <c r="G175" s="53"/>
      <c r="H175" s="135">
        <f>SUM(H173:H174)</f>
        <v>42840</v>
      </c>
      <c r="I175" s="135">
        <f t="shared" ref="I175:L175" si="62">SUM(I173:I174)</f>
        <v>428.4</v>
      </c>
      <c r="J175" s="135">
        <f t="shared" si="62"/>
        <v>0</v>
      </c>
      <c r="K175" s="135">
        <f t="shared" si="62"/>
        <v>0</v>
      </c>
      <c r="L175" s="135">
        <f t="shared" si="62"/>
        <v>0</v>
      </c>
      <c r="M175" s="52"/>
      <c r="N175" s="52"/>
      <c r="O175" s="52"/>
      <c r="P175" s="52"/>
      <c r="Q175" s="128">
        <f>SUM(Q173:Q174)</f>
        <v>15333000</v>
      </c>
      <c r="R175" s="52">
        <v>124</v>
      </c>
      <c r="S175" s="128">
        <f t="shared" si="52"/>
        <v>123653.22580645161</v>
      </c>
      <c r="T175" s="140">
        <v>100000</v>
      </c>
      <c r="U175" s="140">
        <f t="shared" si="50"/>
        <v>12400000</v>
      </c>
    </row>
    <row r="176" spans="1:21" s="132" customFormat="1" ht="18" x14ac:dyDescent="0.2">
      <c r="A176" s="52"/>
      <c r="B176" s="52"/>
      <c r="C176" s="3"/>
      <c r="D176" s="3"/>
      <c r="E176" s="3"/>
      <c r="F176" s="79"/>
      <c r="G176" s="79"/>
      <c r="H176" s="84"/>
      <c r="I176" s="89"/>
      <c r="J176" s="89"/>
      <c r="K176" s="87"/>
      <c r="L176" s="85"/>
      <c r="M176" s="87"/>
      <c r="N176" s="87"/>
      <c r="O176" s="87"/>
      <c r="P176" s="87"/>
      <c r="Q176" s="128"/>
      <c r="R176" s="87"/>
      <c r="S176" s="128"/>
      <c r="T176" s="140">
        <v>100000</v>
      </c>
      <c r="U176" s="140">
        <f t="shared" si="50"/>
        <v>0</v>
      </c>
    </row>
    <row r="177" spans="1:21" s="120" customFormat="1" ht="18" x14ac:dyDescent="0.2">
      <c r="A177" s="116">
        <v>145</v>
      </c>
      <c r="B177" s="116">
        <v>157</v>
      </c>
      <c r="C177" s="60" t="s">
        <v>541</v>
      </c>
      <c r="D177" s="60" t="s">
        <v>542</v>
      </c>
      <c r="E177" s="44">
        <v>18</v>
      </c>
      <c r="F177" s="44" t="s">
        <v>538</v>
      </c>
      <c r="G177" s="44">
        <v>34</v>
      </c>
      <c r="H177" s="63">
        <v>1000</v>
      </c>
      <c r="I177" s="114">
        <f t="shared" ref="I177:I178" si="63">H177/100</f>
        <v>10</v>
      </c>
      <c r="J177" s="114"/>
      <c r="K177" s="63">
        <v>7</v>
      </c>
      <c r="L177" s="65"/>
      <c r="M177" s="60" t="s">
        <v>543</v>
      </c>
      <c r="N177" s="61"/>
      <c r="O177" s="61"/>
      <c r="P177" s="61"/>
      <c r="Q177" s="91">
        <f>H177*1000</f>
        <v>1000000</v>
      </c>
      <c r="R177" s="61"/>
      <c r="S177" s="128"/>
      <c r="T177" s="140">
        <v>100000</v>
      </c>
      <c r="U177" s="140">
        <f t="shared" si="50"/>
        <v>0</v>
      </c>
    </row>
    <row r="178" spans="1:21" s="120" customFormat="1" ht="34" x14ac:dyDescent="0.2">
      <c r="A178" s="116">
        <v>146</v>
      </c>
      <c r="B178" s="116">
        <v>156</v>
      </c>
      <c r="C178" s="60" t="s">
        <v>580</v>
      </c>
      <c r="D178" s="60" t="s">
        <v>581</v>
      </c>
      <c r="E178" s="60">
        <v>18</v>
      </c>
      <c r="F178" s="44" t="s">
        <v>538</v>
      </c>
      <c r="G178" s="44">
        <v>42</v>
      </c>
      <c r="H178" s="63">
        <v>5308</v>
      </c>
      <c r="I178" s="115">
        <f t="shared" si="63"/>
        <v>53.08</v>
      </c>
      <c r="J178" s="115"/>
      <c r="K178" s="61"/>
      <c r="L178" s="65"/>
      <c r="M178" s="60" t="s">
        <v>582</v>
      </c>
      <c r="N178" s="61"/>
      <c r="O178" s="61"/>
      <c r="P178" s="61"/>
      <c r="Q178" s="91"/>
      <c r="R178" s="61"/>
      <c r="S178" s="128"/>
      <c r="T178" s="140">
        <v>100000</v>
      </c>
      <c r="U178" s="140">
        <f t="shared" si="50"/>
        <v>0</v>
      </c>
    </row>
    <row r="179" spans="1:21" s="122" customFormat="1" ht="18" x14ac:dyDescent="0.2">
      <c r="A179" s="3"/>
      <c r="B179" s="3"/>
      <c r="C179" s="3" t="s">
        <v>618</v>
      </c>
      <c r="D179" s="3"/>
      <c r="E179" s="3">
        <f>E178</f>
        <v>18</v>
      </c>
      <c r="F179" s="3"/>
      <c r="G179" s="3"/>
      <c r="H179" s="127">
        <f>SUM(H177:H178)</f>
        <v>6308</v>
      </c>
      <c r="I179" s="127">
        <f t="shared" ref="I179:L179" si="64">SUM(I177:I178)</f>
        <v>63.08</v>
      </c>
      <c r="J179" s="127">
        <f t="shared" si="64"/>
        <v>0</v>
      </c>
      <c r="K179" s="127">
        <f t="shared" si="64"/>
        <v>7</v>
      </c>
      <c r="L179" s="127">
        <f t="shared" si="64"/>
        <v>0</v>
      </c>
      <c r="M179" s="4"/>
      <c r="N179" s="128"/>
      <c r="O179" s="128"/>
      <c r="P179" s="128"/>
      <c r="Q179" s="128">
        <f>SUM(Q177:Q178)</f>
        <v>1000000</v>
      </c>
      <c r="R179" s="3">
        <v>112</v>
      </c>
      <c r="S179" s="128">
        <f t="shared" si="52"/>
        <v>8928.5714285714294</v>
      </c>
      <c r="T179" s="140">
        <v>100000</v>
      </c>
      <c r="U179" s="140">
        <f t="shared" si="50"/>
        <v>11200000</v>
      </c>
    </row>
    <row r="180" spans="1:21" s="122" customFormat="1" ht="18" x14ac:dyDescent="0.2">
      <c r="A180" s="3"/>
      <c r="B180" s="3"/>
      <c r="C180" s="3"/>
      <c r="D180" s="3"/>
      <c r="E180" s="3"/>
      <c r="F180" s="3"/>
      <c r="G180" s="3"/>
      <c r="H180" s="127"/>
      <c r="I180" s="127"/>
      <c r="J180" s="133"/>
      <c r="K180" s="4"/>
      <c r="L180" s="4"/>
      <c r="M180" s="4"/>
      <c r="N180" s="128"/>
      <c r="O180" s="128"/>
      <c r="P180" s="128"/>
      <c r="Q180" s="128"/>
      <c r="R180" s="3"/>
      <c r="S180" s="128"/>
      <c r="T180" s="140">
        <v>100000</v>
      </c>
      <c r="U180" s="140">
        <f t="shared" si="50"/>
        <v>0</v>
      </c>
    </row>
    <row r="181" spans="1:21" s="5" customFormat="1" ht="18" x14ac:dyDescent="0.2">
      <c r="A181" s="116">
        <v>147</v>
      </c>
      <c r="B181" s="116">
        <v>23</v>
      </c>
      <c r="C181" s="61" t="s">
        <v>561</v>
      </c>
      <c r="D181" s="61" t="s">
        <v>562</v>
      </c>
      <c r="E181" s="61">
        <v>20</v>
      </c>
      <c r="F181" s="60" t="s">
        <v>545</v>
      </c>
      <c r="G181" s="44">
        <v>178</v>
      </c>
      <c r="H181" s="63">
        <v>1045</v>
      </c>
      <c r="I181" s="64">
        <f>H181/100</f>
        <v>10.45</v>
      </c>
      <c r="J181" s="64">
        <v>892</v>
      </c>
      <c r="K181" s="61"/>
      <c r="L181" s="65"/>
      <c r="M181" s="60" t="s">
        <v>563</v>
      </c>
      <c r="N181" s="61"/>
      <c r="O181" s="61"/>
      <c r="P181" s="61"/>
      <c r="Q181" s="91">
        <f>H181*1000</f>
        <v>1045000</v>
      </c>
      <c r="R181" s="28"/>
      <c r="S181" s="128"/>
      <c r="T181" s="140">
        <v>100000</v>
      </c>
      <c r="U181" s="140">
        <f t="shared" si="50"/>
        <v>0</v>
      </c>
    </row>
    <row r="182" spans="1:21" s="5" customFormat="1" ht="34" x14ac:dyDescent="0.2">
      <c r="A182" s="116">
        <v>148</v>
      </c>
      <c r="B182" s="116">
        <v>24</v>
      </c>
      <c r="C182" s="60" t="s">
        <v>574</v>
      </c>
      <c r="D182" s="61" t="s">
        <v>575</v>
      </c>
      <c r="E182" s="61">
        <v>20</v>
      </c>
      <c r="F182" s="60" t="s">
        <v>545</v>
      </c>
      <c r="G182" s="44">
        <v>178</v>
      </c>
      <c r="H182" s="63">
        <v>19805</v>
      </c>
      <c r="I182" s="64">
        <f>H182/100</f>
        <v>198.05</v>
      </c>
      <c r="J182" s="64"/>
      <c r="K182" s="61"/>
      <c r="L182" s="65"/>
      <c r="M182" s="60" t="s">
        <v>576</v>
      </c>
      <c r="N182" s="61"/>
      <c r="O182" s="61"/>
      <c r="P182" s="61"/>
      <c r="Q182" s="91"/>
      <c r="R182" s="28"/>
      <c r="S182" s="128"/>
      <c r="T182" s="140">
        <v>100000</v>
      </c>
      <c r="U182" s="140">
        <f t="shared" si="50"/>
        <v>0</v>
      </c>
    </row>
    <row r="183" spans="1:21" s="122" customFormat="1" ht="18" x14ac:dyDescent="0.2">
      <c r="A183" s="3"/>
      <c r="B183" s="3"/>
      <c r="C183" s="3" t="s">
        <v>618</v>
      </c>
      <c r="D183" s="3"/>
      <c r="E183" s="3">
        <f>E182</f>
        <v>20</v>
      </c>
      <c r="F183" s="3"/>
      <c r="G183" s="3"/>
      <c r="H183" s="127">
        <f>SUM(H181:H182)</f>
        <v>20850</v>
      </c>
      <c r="I183" s="127">
        <f t="shared" ref="I183:L183" si="65">SUM(I181:I182)</f>
        <v>208.5</v>
      </c>
      <c r="J183" s="127">
        <f t="shared" si="65"/>
        <v>892</v>
      </c>
      <c r="K183" s="127">
        <f t="shared" si="65"/>
        <v>0</v>
      </c>
      <c r="L183" s="127">
        <f t="shared" si="65"/>
        <v>0</v>
      </c>
      <c r="M183" s="4"/>
      <c r="N183" s="128"/>
      <c r="O183" s="128"/>
      <c r="P183" s="128"/>
      <c r="Q183" s="128">
        <f>SUM(Q181:Q182)</f>
        <v>1045000</v>
      </c>
      <c r="R183" s="3">
        <v>80</v>
      </c>
      <c r="S183" s="128">
        <f t="shared" si="52"/>
        <v>13062.5</v>
      </c>
      <c r="T183" s="140">
        <v>100000</v>
      </c>
      <c r="U183" s="140">
        <f t="shared" si="50"/>
        <v>8000000</v>
      </c>
    </row>
    <row r="184" spans="1:21" s="5" customFormat="1" ht="18" x14ac:dyDescent="0.2">
      <c r="A184" s="116"/>
      <c r="B184" s="116"/>
      <c r="C184" s="60"/>
      <c r="D184" s="61"/>
      <c r="E184" s="61"/>
      <c r="F184" s="60"/>
      <c r="G184" s="44"/>
      <c r="H184" s="63"/>
      <c r="I184" s="64"/>
      <c r="J184" s="64"/>
      <c r="K184" s="61"/>
      <c r="L184" s="65"/>
      <c r="M184" s="60"/>
      <c r="N184" s="61"/>
      <c r="O184" s="61"/>
      <c r="P184" s="61"/>
      <c r="Q184" s="91"/>
      <c r="R184" s="28"/>
      <c r="S184" s="128"/>
      <c r="T184" s="140">
        <v>100000</v>
      </c>
      <c r="U184" s="140">
        <f t="shared" si="50"/>
        <v>0</v>
      </c>
    </row>
    <row r="185" spans="1:21" s="5" customFormat="1" ht="18" x14ac:dyDescent="0.2">
      <c r="A185" s="116">
        <v>149</v>
      </c>
      <c r="B185" s="44">
        <v>8</v>
      </c>
      <c r="C185" s="44" t="s">
        <v>31</v>
      </c>
      <c r="D185" s="44" t="s">
        <v>32</v>
      </c>
      <c r="E185" s="44">
        <v>21</v>
      </c>
      <c r="F185" s="97" t="s">
        <v>16</v>
      </c>
      <c r="G185" s="44">
        <v>275</v>
      </c>
      <c r="H185" s="113">
        <v>636</v>
      </c>
      <c r="I185" s="113">
        <v>636</v>
      </c>
      <c r="J185" s="119">
        <f t="shared" ref="J185:J197" si="66">I185-H185</f>
        <v>0</v>
      </c>
      <c r="K185" s="97">
        <v>413</v>
      </c>
      <c r="L185" s="97">
        <v>105.19</v>
      </c>
      <c r="M185" s="97" t="s">
        <v>33</v>
      </c>
      <c r="N185" s="91">
        <f t="shared" ref="N185:N199" si="67">I185*P185/100</f>
        <v>318000</v>
      </c>
      <c r="O185" s="91">
        <f t="shared" ref="O185:O199" si="68">K185*300</f>
        <v>123900</v>
      </c>
      <c r="P185" s="91">
        <v>50000</v>
      </c>
      <c r="Q185" s="91">
        <f t="shared" ref="Q185:Q199" si="69">N185+O185</f>
        <v>441900</v>
      </c>
      <c r="R185" s="28"/>
      <c r="S185" s="128"/>
      <c r="T185" s="140">
        <v>100000</v>
      </c>
      <c r="U185" s="140">
        <f t="shared" si="50"/>
        <v>0</v>
      </c>
    </row>
    <row r="186" spans="1:21" s="5" customFormat="1" ht="18" x14ac:dyDescent="0.2">
      <c r="A186" s="116">
        <v>150</v>
      </c>
      <c r="B186" s="44">
        <v>9</v>
      </c>
      <c r="C186" s="44" t="s">
        <v>34</v>
      </c>
      <c r="D186" s="44" t="s">
        <v>35</v>
      </c>
      <c r="E186" s="44">
        <v>21</v>
      </c>
      <c r="F186" s="97" t="s">
        <v>16</v>
      </c>
      <c r="G186" s="44" t="s">
        <v>36</v>
      </c>
      <c r="H186" s="113">
        <v>398</v>
      </c>
      <c r="I186" s="113">
        <v>398</v>
      </c>
      <c r="J186" s="119">
        <f t="shared" si="66"/>
        <v>0</v>
      </c>
      <c r="K186" s="97">
        <v>134</v>
      </c>
      <c r="L186" s="97">
        <v>66.010000000000005</v>
      </c>
      <c r="M186" s="97" t="s">
        <v>37</v>
      </c>
      <c r="N186" s="91">
        <f t="shared" si="67"/>
        <v>199000</v>
      </c>
      <c r="O186" s="91">
        <f t="shared" si="68"/>
        <v>40200</v>
      </c>
      <c r="P186" s="91">
        <v>50000</v>
      </c>
      <c r="Q186" s="91">
        <f t="shared" si="69"/>
        <v>239200</v>
      </c>
      <c r="R186" s="28"/>
      <c r="S186" s="128"/>
      <c r="T186" s="140">
        <v>100000</v>
      </c>
      <c r="U186" s="140">
        <f t="shared" si="50"/>
        <v>0</v>
      </c>
    </row>
    <row r="187" spans="1:21" s="5" customFormat="1" ht="18" x14ac:dyDescent="0.2">
      <c r="A187" s="116">
        <v>151</v>
      </c>
      <c r="B187" s="44">
        <v>10</v>
      </c>
      <c r="C187" s="44" t="s">
        <v>38</v>
      </c>
      <c r="D187" s="44" t="s">
        <v>39</v>
      </c>
      <c r="E187" s="44">
        <v>21</v>
      </c>
      <c r="F187" s="97" t="s">
        <v>16</v>
      </c>
      <c r="G187" s="44" t="s">
        <v>40</v>
      </c>
      <c r="H187" s="113">
        <v>300</v>
      </c>
      <c r="I187" s="113">
        <v>300</v>
      </c>
      <c r="J187" s="119">
        <f t="shared" si="66"/>
        <v>0</v>
      </c>
      <c r="K187" s="97">
        <v>117</v>
      </c>
      <c r="L187" s="97">
        <v>52.72</v>
      </c>
      <c r="M187" s="97" t="s">
        <v>41</v>
      </c>
      <c r="N187" s="91">
        <f t="shared" si="67"/>
        <v>150000</v>
      </c>
      <c r="O187" s="91">
        <f t="shared" si="68"/>
        <v>35100</v>
      </c>
      <c r="P187" s="91">
        <v>50000</v>
      </c>
      <c r="Q187" s="91">
        <f t="shared" si="69"/>
        <v>185100</v>
      </c>
      <c r="R187" s="28"/>
      <c r="S187" s="128"/>
      <c r="T187" s="140">
        <v>100000</v>
      </c>
      <c r="U187" s="140">
        <f t="shared" si="50"/>
        <v>0</v>
      </c>
    </row>
    <row r="188" spans="1:21" s="5" customFormat="1" ht="18" x14ac:dyDescent="0.2">
      <c r="A188" s="116">
        <v>152</v>
      </c>
      <c r="B188" s="44">
        <v>11</v>
      </c>
      <c r="C188" s="44" t="s">
        <v>42</v>
      </c>
      <c r="D188" s="44" t="s">
        <v>43</v>
      </c>
      <c r="E188" s="44">
        <v>21</v>
      </c>
      <c r="F188" s="97" t="s">
        <v>16</v>
      </c>
      <c r="G188" s="44" t="s">
        <v>44</v>
      </c>
      <c r="H188" s="113">
        <v>391</v>
      </c>
      <c r="I188" s="113">
        <v>391</v>
      </c>
      <c r="J188" s="119">
        <f t="shared" si="66"/>
        <v>0</v>
      </c>
      <c r="K188" s="97">
        <v>233</v>
      </c>
      <c r="L188" s="97">
        <v>89.46</v>
      </c>
      <c r="M188" s="97" t="s">
        <v>45</v>
      </c>
      <c r="N188" s="91">
        <f t="shared" si="67"/>
        <v>195500</v>
      </c>
      <c r="O188" s="91">
        <f t="shared" si="68"/>
        <v>69900</v>
      </c>
      <c r="P188" s="91">
        <v>50000</v>
      </c>
      <c r="Q188" s="91">
        <f t="shared" si="69"/>
        <v>265400</v>
      </c>
      <c r="R188" s="28"/>
      <c r="S188" s="128"/>
      <c r="T188" s="140">
        <v>100000</v>
      </c>
      <c r="U188" s="140">
        <f t="shared" si="50"/>
        <v>0</v>
      </c>
    </row>
    <row r="189" spans="1:21" s="5" customFormat="1" ht="18" x14ac:dyDescent="0.2">
      <c r="A189" s="116">
        <v>153</v>
      </c>
      <c r="B189" s="44">
        <v>12</v>
      </c>
      <c r="C189" s="44" t="s">
        <v>46</v>
      </c>
      <c r="D189" s="44" t="s">
        <v>47</v>
      </c>
      <c r="E189" s="44">
        <v>21</v>
      </c>
      <c r="F189" s="97" t="s">
        <v>16</v>
      </c>
      <c r="G189" s="44" t="s">
        <v>48</v>
      </c>
      <c r="H189" s="113">
        <v>845</v>
      </c>
      <c r="I189" s="113">
        <v>845</v>
      </c>
      <c r="J189" s="119">
        <f t="shared" si="66"/>
        <v>0</v>
      </c>
      <c r="K189" s="97">
        <v>276</v>
      </c>
      <c r="L189" s="97">
        <v>80.59</v>
      </c>
      <c r="M189" s="97" t="s">
        <v>41</v>
      </c>
      <c r="N189" s="91">
        <f t="shared" si="67"/>
        <v>422500</v>
      </c>
      <c r="O189" s="91">
        <f t="shared" si="68"/>
        <v>82800</v>
      </c>
      <c r="P189" s="91">
        <v>50000</v>
      </c>
      <c r="Q189" s="91">
        <f t="shared" si="69"/>
        <v>505300</v>
      </c>
      <c r="R189" s="28"/>
      <c r="S189" s="128"/>
      <c r="T189" s="140">
        <v>100000</v>
      </c>
      <c r="U189" s="140">
        <f t="shared" si="50"/>
        <v>0</v>
      </c>
    </row>
    <row r="190" spans="1:21" s="5" customFormat="1" ht="18" x14ac:dyDescent="0.2">
      <c r="A190" s="116">
        <v>154</v>
      </c>
      <c r="B190" s="44">
        <v>13</v>
      </c>
      <c r="C190" s="44" t="s">
        <v>49</v>
      </c>
      <c r="D190" s="44" t="s">
        <v>50</v>
      </c>
      <c r="E190" s="44">
        <v>21</v>
      </c>
      <c r="F190" s="97" t="s">
        <v>16</v>
      </c>
      <c r="G190" s="44" t="s">
        <v>51</v>
      </c>
      <c r="H190" s="113">
        <v>600</v>
      </c>
      <c r="I190" s="97">
        <v>659</v>
      </c>
      <c r="J190" s="119">
        <f t="shared" si="66"/>
        <v>59</v>
      </c>
      <c r="K190" s="97">
        <v>22</v>
      </c>
      <c r="L190" s="97">
        <v>16.239999999999998</v>
      </c>
      <c r="M190" s="97" t="s">
        <v>52</v>
      </c>
      <c r="N190" s="91">
        <f t="shared" si="67"/>
        <v>329500</v>
      </c>
      <c r="O190" s="91">
        <f t="shared" si="68"/>
        <v>6600</v>
      </c>
      <c r="P190" s="91">
        <v>50000</v>
      </c>
      <c r="Q190" s="91">
        <f t="shared" si="69"/>
        <v>336100</v>
      </c>
      <c r="R190" s="28"/>
      <c r="S190" s="128"/>
      <c r="T190" s="140">
        <v>100000</v>
      </c>
      <c r="U190" s="140">
        <f t="shared" si="50"/>
        <v>0</v>
      </c>
    </row>
    <row r="191" spans="1:21" s="5" customFormat="1" ht="18" x14ac:dyDescent="0.2">
      <c r="A191" s="116">
        <v>155</v>
      </c>
      <c r="B191" s="44">
        <v>14</v>
      </c>
      <c r="C191" s="44" t="s">
        <v>53</v>
      </c>
      <c r="D191" s="44" t="s">
        <v>54</v>
      </c>
      <c r="E191" s="44">
        <v>21</v>
      </c>
      <c r="F191" s="97" t="s">
        <v>16</v>
      </c>
      <c r="G191" s="44">
        <v>277</v>
      </c>
      <c r="H191" s="113">
        <v>754</v>
      </c>
      <c r="I191" s="97">
        <v>779</v>
      </c>
      <c r="J191" s="119">
        <f t="shared" si="66"/>
        <v>25</v>
      </c>
      <c r="K191" s="97">
        <v>470</v>
      </c>
      <c r="L191" s="97">
        <v>217.57</v>
      </c>
      <c r="M191" s="97" t="s">
        <v>55</v>
      </c>
      <c r="N191" s="91">
        <f t="shared" si="67"/>
        <v>623200</v>
      </c>
      <c r="O191" s="91">
        <f t="shared" si="68"/>
        <v>141000</v>
      </c>
      <c r="P191" s="91">
        <v>80000</v>
      </c>
      <c r="Q191" s="91">
        <f t="shared" si="69"/>
        <v>764200</v>
      </c>
      <c r="R191" s="28"/>
      <c r="S191" s="128"/>
      <c r="T191" s="140">
        <v>100000</v>
      </c>
      <c r="U191" s="140">
        <f t="shared" si="50"/>
        <v>0</v>
      </c>
    </row>
    <row r="192" spans="1:21" s="5" customFormat="1" ht="18" x14ac:dyDescent="0.2">
      <c r="A192" s="116">
        <v>156</v>
      </c>
      <c r="B192" s="44">
        <v>15</v>
      </c>
      <c r="C192" s="44" t="s">
        <v>56</v>
      </c>
      <c r="D192" s="44" t="s">
        <v>57</v>
      </c>
      <c r="E192" s="44">
        <v>21</v>
      </c>
      <c r="F192" s="97" t="s">
        <v>16</v>
      </c>
      <c r="G192" s="44" t="s">
        <v>58</v>
      </c>
      <c r="H192" s="113">
        <v>535</v>
      </c>
      <c r="I192" s="113">
        <v>535</v>
      </c>
      <c r="J192" s="119">
        <f t="shared" si="66"/>
        <v>0</v>
      </c>
      <c r="K192" s="97">
        <v>222</v>
      </c>
      <c r="L192" s="97">
        <v>85.84</v>
      </c>
      <c r="M192" s="97" t="s">
        <v>59</v>
      </c>
      <c r="N192" s="91">
        <f t="shared" si="67"/>
        <v>428000</v>
      </c>
      <c r="O192" s="91">
        <f t="shared" si="68"/>
        <v>66600</v>
      </c>
      <c r="P192" s="91">
        <v>80000</v>
      </c>
      <c r="Q192" s="91">
        <f t="shared" si="69"/>
        <v>494600</v>
      </c>
      <c r="R192" s="28"/>
      <c r="S192" s="128"/>
      <c r="T192" s="140">
        <v>100000</v>
      </c>
      <c r="U192" s="140">
        <f t="shared" si="50"/>
        <v>0</v>
      </c>
    </row>
    <row r="193" spans="1:21" s="5" customFormat="1" ht="18" x14ac:dyDescent="0.2">
      <c r="A193" s="116">
        <v>157</v>
      </c>
      <c r="B193" s="44">
        <v>16</v>
      </c>
      <c r="C193" s="44" t="s">
        <v>60</v>
      </c>
      <c r="D193" s="44" t="s">
        <v>61</v>
      </c>
      <c r="E193" s="44">
        <v>21</v>
      </c>
      <c r="F193" s="97" t="s">
        <v>16</v>
      </c>
      <c r="G193" s="44">
        <v>281</v>
      </c>
      <c r="H193" s="113">
        <v>1093</v>
      </c>
      <c r="I193" s="113">
        <v>1093</v>
      </c>
      <c r="J193" s="119">
        <f t="shared" si="66"/>
        <v>0</v>
      </c>
      <c r="K193" s="97">
        <v>460</v>
      </c>
      <c r="L193" s="97">
        <v>182.68</v>
      </c>
      <c r="M193" s="97" t="s">
        <v>62</v>
      </c>
      <c r="N193" s="91">
        <f t="shared" si="67"/>
        <v>546500</v>
      </c>
      <c r="O193" s="91">
        <f t="shared" si="68"/>
        <v>138000</v>
      </c>
      <c r="P193" s="91">
        <v>50000</v>
      </c>
      <c r="Q193" s="91">
        <f t="shared" si="69"/>
        <v>684500</v>
      </c>
      <c r="R193" s="28"/>
      <c r="S193" s="128"/>
      <c r="T193" s="140">
        <v>100000</v>
      </c>
      <c r="U193" s="140">
        <f t="shared" si="50"/>
        <v>0</v>
      </c>
    </row>
    <row r="194" spans="1:21" s="5" customFormat="1" ht="18" x14ac:dyDescent="0.2">
      <c r="A194" s="116">
        <v>158</v>
      </c>
      <c r="B194" s="44">
        <v>17</v>
      </c>
      <c r="C194" s="44" t="s">
        <v>63</v>
      </c>
      <c r="D194" s="44" t="s">
        <v>64</v>
      </c>
      <c r="E194" s="44">
        <v>21</v>
      </c>
      <c r="F194" s="97" t="s">
        <v>16</v>
      </c>
      <c r="G194" s="44">
        <v>279</v>
      </c>
      <c r="H194" s="113">
        <v>1265</v>
      </c>
      <c r="I194" s="97">
        <v>2509</v>
      </c>
      <c r="J194" s="119">
        <f t="shared" si="66"/>
        <v>1244</v>
      </c>
      <c r="K194" s="97">
        <v>653</v>
      </c>
      <c r="L194" s="97">
        <v>68.489999999999995</v>
      </c>
      <c r="M194" s="97" t="s">
        <v>65</v>
      </c>
      <c r="N194" s="91">
        <f t="shared" si="67"/>
        <v>1630850</v>
      </c>
      <c r="O194" s="91">
        <f t="shared" si="68"/>
        <v>195900</v>
      </c>
      <c r="P194" s="91">
        <v>65000</v>
      </c>
      <c r="Q194" s="91">
        <f t="shared" si="69"/>
        <v>1826750</v>
      </c>
      <c r="R194" s="28"/>
      <c r="S194" s="128"/>
      <c r="T194" s="140">
        <v>100000</v>
      </c>
      <c r="U194" s="140">
        <f t="shared" si="50"/>
        <v>0</v>
      </c>
    </row>
    <row r="195" spans="1:21" s="5" customFormat="1" ht="18" x14ac:dyDescent="0.2">
      <c r="A195" s="116">
        <v>159</v>
      </c>
      <c r="B195" s="44">
        <v>18</v>
      </c>
      <c r="C195" s="44" t="s">
        <v>66</v>
      </c>
      <c r="D195" s="44" t="s">
        <v>67</v>
      </c>
      <c r="E195" s="44">
        <v>21</v>
      </c>
      <c r="F195" s="97" t="s">
        <v>16</v>
      </c>
      <c r="G195" s="44" t="s">
        <v>68</v>
      </c>
      <c r="H195" s="113">
        <v>600</v>
      </c>
      <c r="I195" s="113">
        <v>600</v>
      </c>
      <c r="J195" s="119">
        <f t="shared" si="66"/>
        <v>0</v>
      </c>
      <c r="K195" s="97">
        <v>167</v>
      </c>
      <c r="L195" s="97">
        <v>30.53</v>
      </c>
      <c r="M195" s="97" t="s">
        <v>69</v>
      </c>
      <c r="N195" s="91">
        <f t="shared" si="67"/>
        <v>480000</v>
      </c>
      <c r="O195" s="91">
        <f t="shared" si="68"/>
        <v>50100</v>
      </c>
      <c r="P195" s="91">
        <v>80000</v>
      </c>
      <c r="Q195" s="91">
        <f t="shared" si="69"/>
        <v>530100</v>
      </c>
      <c r="R195" s="28"/>
      <c r="S195" s="128"/>
      <c r="T195" s="140">
        <v>100000</v>
      </c>
      <c r="U195" s="140">
        <f t="shared" si="50"/>
        <v>0</v>
      </c>
    </row>
    <row r="196" spans="1:21" s="5" customFormat="1" ht="18" x14ac:dyDescent="0.2">
      <c r="A196" s="116">
        <v>160</v>
      </c>
      <c r="B196" s="44">
        <v>19</v>
      </c>
      <c r="C196" s="44" t="s">
        <v>70</v>
      </c>
      <c r="D196" s="44" t="s">
        <v>71</v>
      </c>
      <c r="E196" s="44">
        <v>21</v>
      </c>
      <c r="F196" s="97" t="s">
        <v>16</v>
      </c>
      <c r="G196" s="44">
        <v>283</v>
      </c>
      <c r="H196" s="113">
        <v>2114</v>
      </c>
      <c r="I196" s="113">
        <v>2114</v>
      </c>
      <c r="J196" s="119">
        <f t="shared" si="66"/>
        <v>0</v>
      </c>
      <c r="K196" s="97">
        <v>556</v>
      </c>
      <c r="L196" s="97">
        <v>233.3</v>
      </c>
      <c r="M196" s="97" t="s">
        <v>72</v>
      </c>
      <c r="N196" s="91">
        <f t="shared" si="67"/>
        <v>1057000</v>
      </c>
      <c r="O196" s="91">
        <f t="shared" si="68"/>
        <v>166800</v>
      </c>
      <c r="P196" s="91">
        <v>50000</v>
      </c>
      <c r="Q196" s="91">
        <f t="shared" si="69"/>
        <v>1223800</v>
      </c>
      <c r="R196" s="28"/>
      <c r="S196" s="128"/>
      <c r="T196" s="140">
        <v>100000</v>
      </c>
      <c r="U196" s="140">
        <f t="shared" si="50"/>
        <v>0</v>
      </c>
    </row>
    <row r="197" spans="1:21" s="5" customFormat="1" ht="18" x14ac:dyDescent="0.2">
      <c r="A197" s="116">
        <v>161</v>
      </c>
      <c r="B197" s="44">
        <v>26</v>
      </c>
      <c r="C197" s="44" t="s">
        <v>73</v>
      </c>
      <c r="D197" s="44" t="s">
        <v>74</v>
      </c>
      <c r="E197" s="44">
        <v>21</v>
      </c>
      <c r="F197" s="97" t="s">
        <v>75</v>
      </c>
      <c r="G197" s="44">
        <v>244</v>
      </c>
      <c r="H197" s="113">
        <v>1010</v>
      </c>
      <c r="I197" s="113">
        <v>1010</v>
      </c>
      <c r="J197" s="119">
        <f t="shared" si="66"/>
        <v>0</v>
      </c>
      <c r="K197" s="97">
        <v>228</v>
      </c>
      <c r="L197" s="97">
        <v>76.5</v>
      </c>
      <c r="M197" s="97" t="s">
        <v>76</v>
      </c>
      <c r="N197" s="91">
        <f t="shared" si="67"/>
        <v>505000</v>
      </c>
      <c r="O197" s="91">
        <f t="shared" si="68"/>
        <v>68400</v>
      </c>
      <c r="P197" s="91">
        <v>50000</v>
      </c>
      <c r="Q197" s="91">
        <f t="shared" si="69"/>
        <v>573400</v>
      </c>
      <c r="R197" s="28"/>
      <c r="S197" s="128"/>
      <c r="T197" s="140">
        <v>100000</v>
      </c>
      <c r="U197" s="140">
        <f t="shared" si="50"/>
        <v>0</v>
      </c>
    </row>
    <row r="198" spans="1:21" s="5" customFormat="1" ht="18" x14ac:dyDescent="0.2">
      <c r="A198" s="116">
        <v>162</v>
      </c>
      <c r="B198" s="44"/>
      <c r="C198" s="44" t="s">
        <v>77</v>
      </c>
      <c r="D198" s="44" t="s">
        <v>78</v>
      </c>
      <c r="E198" s="44">
        <v>21</v>
      </c>
      <c r="F198" s="97" t="s">
        <v>79</v>
      </c>
      <c r="G198" s="44">
        <v>180</v>
      </c>
      <c r="H198" s="113">
        <v>1020</v>
      </c>
      <c r="I198" s="113">
        <v>1020</v>
      </c>
      <c r="J198" s="119"/>
      <c r="K198" s="97">
        <v>390</v>
      </c>
      <c r="L198" s="97"/>
      <c r="M198" s="97"/>
      <c r="N198" s="91">
        <f t="shared" si="67"/>
        <v>510000</v>
      </c>
      <c r="O198" s="91">
        <f t="shared" si="68"/>
        <v>117000</v>
      </c>
      <c r="P198" s="91">
        <v>50000</v>
      </c>
      <c r="Q198" s="91">
        <f t="shared" si="69"/>
        <v>627000</v>
      </c>
      <c r="R198" s="28"/>
      <c r="S198" s="128"/>
      <c r="T198" s="140">
        <v>100000</v>
      </c>
      <c r="U198" s="140">
        <f t="shared" si="50"/>
        <v>0</v>
      </c>
    </row>
    <row r="199" spans="1:21" s="5" customFormat="1" ht="18" x14ac:dyDescent="0.2">
      <c r="A199" s="116">
        <v>163</v>
      </c>
      <c r="B199" s="44"/>
      <c r="C199" s="44" t="s">
        <v>80</v>
      </c>
      <c r="D199" s="44" t="s">
        <v>81</v>
      </c>
      <c r="E199" s="44">
        <v>21</v>
      </c>
      <c r="F199" s="97" t="s">
        <v>79</v>
      </c>
      <c r="G199" s="44" t="s">
        <v>82</v>
      </c>
      <c r="H199" s="113"/>
      <c r="I199" s="113"/>
      <c r="J199" s="119"/>
      <c r="K199" s="97">
        <v>236</v>
      </c>
      <c r="L199" s="97"/>
      <c r="M199" s="97"/>
      <c r="N199" s="91">
        <f t="shared" si="67"/>
        <v>0</v>
      </c>
      <c r="O199" s="91">
        <f t="shared" si="68"/>
        <v>70800</v>
      </c>
      <c r="P199" s="91">
        <v>50000</v>
      </c>
      <c r="Q199" s="91">
        <f t="shared" si="69"/>
        <v>70800</v>
      </c>
      <c r="R199" s="28"/>
      <c r="S199" s="128"/>
      <c r="T199" s="140">
        <v>100000</v>
      </c>
      <c r="U199" s="140">
        <f t="shared" si="50"/>
        <v>0</v>
      </c>
    </row>
    <row r="200" spans="1:21" s="5" customFormat="1" ht="34" x14ac:dyDescent="0.2">
      <c r="A200" s="116">
        <v>164</v>
      </c>
      <c r="B200" s="116">
        <v>20</v>
      </c>
      <c r="C200" s="61" t="s">
        <v>555</v>
      </c>
      <c r="D200" s="61" t="s">
        <v>556</v>
      </c>
      <c r="E200" s="44">
        <v>21</v>
      </c>
      <c r="F200" s="60" t="s">
        <v>545</v>
      </c>
      <c r="G200" s="44">
        <v>178</v>
      </c>
      <c r="H200" s="63">
        <v>639</v>
      </c>
      <c r="I200" s="64">
        <f>H200/100</f>
        <v>6.39</v>
      </c>
      <c r="J200" s="64">
        <v>678</v>
      </c>
      <c r="K200" s="61"/>
      <c r="L200" s="65"/>
      <c r="M200" s="60" t="s">
        <v>557</v>
      </c>
      <c r="N200" s="61"/>
      <c r="O200" s="61"/>
      <c r="P200" s="61"/>
      <c r="Q200" s="91">
        <f>H200*1000</f>
        <v>639000</v>
      </c>
      <c r="R200" s="28"/>
      <c r="S200" s="128"/>
      <c r="T200" s="140">
        <v>100000</v>
      </c>
      <c r="U200" s="140">
        <f t="shared" si="50"/>
        <v>0</v>
      </c>
    </row>
    <row r="201" spans="1:21" s="5" customFormat="1" ht="67" customHeight="1" x14ac:dyDescent="0.2">
      <c r="A201" s="116">
        <v>165</v>
      </c>
      <c r="B201" s="116">
        <v>21</v>
      </c>
      <c r="C201" s="118" t="s">
        <v>571</v>
      </c>
      <c r="D201" s="61" t="s">
        <v>572</v>
      </c>
      <c r="E201" s="44">
        <v>21</v>
      </c>
      <c r="F201" s="60" t="s">
        <v>545</v>
      </c>
      <c r="G201" s="44">
        <v>178</v>
      </c>
      <c r="H201" s="63">
        <v>1013</v>
      </c>
      <c r="I201" s="64">
        <f>H201/100</f>
        <v>10.130000000000001</v>
      </c>
      <c r="J201" s="64"/>
      <c r="K201" s="61"/>
      <c r="L201" s="65"/>
      <c r="M201" s="60" t="s">
        <v>573</v>
      </c>
      <c r="N201" s="61"/>
      <c r="O201" s="61"/>
      <c r="P201" s="61"/>
      <c r="Q201" s="91"/>
      <c r="R201" s="28"/>
      <c r="S201" s="128"/>
      <c r="T201" s="140">
        <v>100000</v>
      </c>
      <c r="U201" s="140">
        <f t="shared" si="50"/>
        <v>0</v>
      </c>
    </row>
    <row r="202" spans="1:21" s="120" customFormat="1" ht="18" x14ac:dyDescent="0.2">
      <c r="A202" s="116">
        <v>166</v>
      </c>
      <c r="B202" s="116">
        <v>22</v>
      </c>
      <c r="C202" s="118" t="s">
        <v>558</v>
      </c>
      <c r="D202" s="61" t="s">
        <v>559</v>
      </c>
      <c r="E202" s="44">
        <v>21</v>
      </c>
      <c r="F202" s="60" t="s">
        <v>545</v>
      </c>
      <c r="G202" s="44">
        <v>178</v>
      </c>
      <c r="H202" s="63"/>
      <c r="I202" s="64">
        <f>H202/100</f>
        <v>0</v>
      </c>
      <c r="J202" s="64">
        <v>67</v>
      </c>
      <c r="K202" s="61"/>
      <c r="L202" s="65"/>
      <c r="M202" s="60" t="s">
        <v>560</v>
      </c>
      <c r="N202" s="61"/>
      <c r="O202" s="61"/>
      <c r="P202" s="61"/>
      <c r="Q202" s="91">
        <f>J202*1000</f>
        <v>67000</v>
      </c>
      <c r="R202" s="61"/>
      <c r="S202" s="128"/>
      <c r="T202" s="140">
        <v>100000</v>
      </c>
      <c r="U202" s="140">
        <f t="shared" si="50"/>
        <v>0</v>
      </c>
    </row>
    <row r="203" spans="1:21" s="136" customFormat="1" ht="18" x14ac:dyDescent="0.2">
      <c r="A203" s="52"/>
      <c r="B203" s="52"/>
      <c r="C203" s="3" t="s">
        <v>618</v>
      </c>
      <c r="D203" s="3"/>
      <c r="E203" s="3">
        <f>E202</f>
        <v>21</v>
      </c>
      <c r="F203" s="53"/>
      <c r="G203" s="3"/>
      <c r="H203" s="135">
        <f>SUM(H185:H202)</f>
        <v>13213</v>
      </c>
      <c r="I203" s="135">
        <f t="shared" ref="I203:L203" si="70">SUM(I185:I202)</f>
        <v>12905.519999999999</v>
      </c>
      <c r="J203" s="135">
        <f t="shared" si="70"/>
        <v>2073</v>
      </c>
      <c r="K203" s="135">
        <f t="shared" si="70"/>
        <v>4577</v>
      </c>
      <c r="L203" s="135">
        <f t="shared" si="70"/>
        <v>1305.1199999999999</v>
      </c>
      <c r="M203" s="53"/>
      <c r="N203" s="52"/>
      <c r="O203" s="52"/>
      <c r="P203" s="52"/>
      <c r="Q203" s="128">
        <f>SUM(Q185:Q202)</f>
        <v>9474150</v>
      </c>
      <c r="R203" s="52">
        <v>250</v>
      </c>
      <c r="S203" s="128">
        <f t="shared" si="52"/>
        <v>37896.6</v>
      </c>
      <c r="T203" s="140">
        <v>100000</v>
      </c>
      <c r="U203" s="140">
        <f t="shared" si="50"/>
        <v>25000000</v>
      </c>
    </row>
    <row r="204" spans="1:21" s="120" customFormat="1" ht="18" x14ac:dyDescent="0.2">
      <c r="A204" s="116"/>
      <c r="B204" s="116"/>
      <c r="C204" s="118"/>
      <c r="D204" s="61"/>
      <c r="E204" s="44"/>
      <c r="F204" s="60"/>
      <c r="G204" s="44"/>
      <c r="H204" s="63"/>
      <c r="I204" s="64"/>
      <c r="J204" s="64"/>
      <c r="K204" s="61"/>
      <c r="L204" s="65"/>
      <c r="M204" s="60"/>
      <c r="N204" s="61"/>
      <c r="O204" s="61"/>
      <c r="P204" s="61"/>
      <c r="Q204" s="91"/>
      <c r="R204" s="61"/>
      <c r="S204" s="128"/>
      <c r="T204" s="140">
        <v>100000</v>
      </c>
      <c r="U204" s="140">
        <f t="shared" si="50"/>
        <v>0</v>
      </c>
    </row>
    <row r="205" spans="1:21" s="120" customFormat="1" ht="18" x14ac:dyDescent="0.2">
      <c r="A205" s="116">
        <v>167</v>
      </c>
      <c r="B205" s="44">
        <v>1</v>
      </c>
      <c r="C205" s="44" t="s">
        <v>14</v>
      </c>
      <c r="D205" s="44" t="s">
        <v>15</v>
      </c>
      <c r="E205" s="44">
        <v>22</v>
      </c>
      <c r="F205" s="97" t="s">
        <v>16</v>
      </c>
      <c r="G205" s="44">
        <v>257</v>
      </c>
      <c r="H205" s="113">
        <v>2500</v>
      </c>
      <c r="I205" s="113">
        <v>2500</v>
      </c>
      <c r="J205" s="119">
        <f>I205-H205</f>
        <v>0</v>
      </c>
      <c r="K205" s="97">
        <v>135</v>
      </c>
      <c r="L205" s="97">
        <v>31.84</v>
      </c>
      <c r="M205" s="97" t="s">
        <v>17</v>
      </c>
      <c r="N205" s="91">
        <f>I205*P205/100</f>
        <v>1750000</v>
      </c>
      <c r="O205" s="91">
        <f>K205*300</f>
        <v>40500</v>
      </c>
      <c r="P205" s="91">
        <v>70000</v>
      </c>
      <c r="Q205" s="91">
        <f>N205+O205</f>
        <v>1790500</v>
      </c>
      <c r="R205" s="61"/>
      <c r="S205" s="128"/>
      <c r="T205" s="140">
        <v>100000</v>
      </c>
      <c r="U205" s="140">
        <f t="shared" si="50"/>
        <v>0</v>
      </c>
    </row>
    <row r="206" spans="1:21" s="120" customFormat="1" ht="18" x14ac:dyDescent="0.2">
      <c r="A206" s="116">
        <v>168</v>
      </c>
      <c r="B206" s="44">
        <v>2</v>
      </c>
      <c r="C206" s="44" t="s">
        <v>18</v>
      </c>
      <c r="D206" s="44" t="s">
        <v>19</v>
      </c>
      <c r="E206" s="44">
        <v>22</v>
      </c>
      <c r="F206" s="97" t="s">
        <v>20</v>
      </c>
      <c r="G206" s="44">
        <v>259</v>
      </c>
      <c r="H206" s="113">
        <v>2400</v>
      </c>
      <c r="I206" s="97">
        <v>3200</v>
      </c>
      <c r="J206" s="119">
        <f>I206-H206</f>
        <v>800</v>
      </c>
      <c r="K206" s="97">
        <v>675</v>
      </c>
      <c r="L206" s="97">
        <v>115.49</v>
      </c>
      <c r="M206" s="97" t="s">
        <v>21</v>
      </c>
      <c r="N206" s="91">
        <f>I206*P206/100</f>
        <v>2240000</v>
      </c>
      <c r="O206" s="91">
        <f>K206*300</f>
        <v>202500</v>
      </c>
      <c r="P206" s="91">
        <v>70000</v>
      </c>
      <c r="Q206" s="91">
        <f>N206+O206</f>
        <v>2442500</v>
      </c>
      <c r="R206" s="61"/>
      <c r="S206" s="128"/>
      <c r="T206" s="140">
        <v>100000</v>
      </c>
      <c r="U206" s="140">
        <f t="shared" si="50"/>
        <v>0</v>
      </c>
    </row>
    <row r="207" spans="1:21" s="120" customFormat="1" ht="18" x14ac:dyDescent="0.2">
      <c r="A207" s="116">
        <v>169</v>
      </c>
      <c r="B207" s="44">
        <v>4</v>
      </c>
      <c r="C207" s="44" t="s">
        <v>24</v>
      </c>
      <c r="D207" s="44" t="s">
        <v>25</v>
      </c>
      <c r="E207" s="44">
        <v>22</v>
      </c>
      <c r="F207" s="97" t="s">
        <v>16</v>
      </c>
      <c r="G207" s="44">
        <v>261</v>
      </c>
      <c r="H207" s="113">
        <v>1390</v>
      </c>
      <c r="I207" s="97">
        <v>1390</v>
      </c>
      <c r="J207" s="119">
        <f>I207-H207</f>
        <v>0</v>
      </c>
      <c r="K207" s="97">
        <v>588</v>
      </c>
      <c r="L207" s="97">
        <v>231.64</v>
      </c>
      <c r="M207" s="97" t="s">
        <v>26</v>
      </c>
      <c r="N207" s="91">
        <f>I207*P207/100</f>
        <v>973000</v>
      </c>
      <c r="O207" s="91">
        <f>K207*300</f>
        <v>176400</v>
      </c>
      <c r="P207" s="91">
        <v>70000</v>
      </c>
      <c r="Q207" s="91">
        <f>N207+O207</f>
        <v>1149400</v>
      </c>
      <c r="R207" s="61"/>
      <c r="S207" s="128"/>
      <c r="T207" s="140">
        <v>100000</v>
      </c>
      <c r="U207" s="140">
        <f t="shared" ref="U207:U209" si="71">R207*T207</f>
        <v>0</v>
      </c>
    </row>
    <row r="208" spans="1:21" s="120" customFormat="1" ht="18" x14ac:dyDescent="0.2">
      <c r="A208" s="116">
        <v>170</v>
      </c>
      <c r="B208" s="44">
        <v>5</v>
      </c>
      <c r="C208" s="44" t="s">
        <v>27</v>
      </c>
      <c r="D208" s="44" t="s">
        <v>28</v>
      </c>
      <c r="E208" s="44">
        <v>22</v>
      </c>
      <c r="F208" s="97" t="s">
        <v>16</v>
      </c>
      <c r="G208" s="44">
        <v>263</v>
      </c>
      <c r="H208" s="113">
        <v>4900</v>
      </c>
      <c r="I208" s="97">
        <v>5098</v>
      </c>
      <c r="J208" s="119">
        <f>I208-H208</f>
        <v>198</v>
      </c>
      <c r="K208" s="97">
        <v>311</v>
      </c>
      <c r="L208" s="97">
        <v>257.26</v>
      </c>
      <c r="M208" s="97" t="s">
        <v>29</v>
      </c>
      <c r="N208" s="91">
        <f>I208*P208/100</f>
        <v>2549000</v>
      </c>
      <c r="O208" s="91">
        <f>K208*300</f>
        <v>93300</v>
      </c>
      <c r="P208" s="91">
        <v>50000</v>
      </c>
      <c r="Q208" s="91">
        <f>N208+O208</f>
        <v>2642300</v>
      </c>
      <c r="R208" s="61"/>
      <c r="S208" s="128"/>
      <c r="T208" s="140">
        <v>100000</v>
      </c>
      <c r="U208" s="140">
        <f t="shared" si="71"/>
        <v>0</v>
      </c>
    </row>
    <row r="209" spans="1:21" s="122" customFormat="1" ht="18" x14ac:dyDescent="0.2">
      <c r="A209" s="3"/>
      <c r="B209" s="3"/>
      <c r="C209" s="3" t="s">
        <v>618</v>
      </c>
      <c r="D209" s="3"/>
      <c r="E209" s="3">
        <f>E208</f>
        <v>22</v>
      </c>
      <c r="F209" s="3"/>
      <c r="G209" s="3"/>
      <c r="H209" s="133">
        <f>SUM(H205:H208)</f>
        <v>11190</v>
      </c>
      <c r="I209" s="133">
        <f t="shared" ref="I209:M209" si="72">SUM(I205:I208)</f>
        <v>12188</v>
      </c>
      <c r="J209" s="133">
        <f t="shared" si="72"/>
        <v>998</v>
      </c>
      <c r="K209" s="133">
        <f t="shared" si="72"/>
        <v>1709</v>
      </c>
      <c r="L209" s="133">
        <f t="shared" si="72"/>
        <v>636.23</v>
      </c>
      <c r="M209" s="133">
        <f t="shared" si="72"/>
        <v>0</v>
      </c>
      <c r="N209" s="3"/>
      <c r="O209" s="3"/>
      <c r="P209" s="3"/>
      <c r="Q209" s="128">
        <f>SUM(Q205:Q208)</f>
        <v>8024700</v>
      </c>
      <c r="R209" s="3">
        <v>170</v>
      </c>
      <c r="S209" s="128">
        <f t="shared" ref="S209:S211" si="73">Q209/R209</f>
        <v>47204.117647058825</v>
      </c>
      <c r="T209" s="140">
        <v>100000</v>
      </c>
      <c r="U209" s="140">
        <f t="shared" si="71"/>
        <v>17000000</v>
      </c>
    </row>
    <row r="211" spans="1:21" s="123" customFormat="1" ht="20" x14ac:dyDescent="0.2">
      <c r="A211" s="124"/>
      <c r="B211" s="124"/>
      <c r="C211" s="124" t="s">
        <v>616</v>
      </c>
      <c r="D211" s="124"/>
      <c r="E211" s="124"/>
      <c r="F211" s="124"/>
      <c r="G211" s="124"/>
      <c r="H211" s="125"/>
      <c r="I211" s="125"/>
      <c r="J211" s="125"/>
      <c r="K211" s="125"/>
      <c r="L211" s="125"/>
      <c r="M211" s="125"/>
      <c r="N211" s="124"/>
      <c r="O211" s="124"/>
      <c r="P211" s="124"/>
      <c r="Q211" s="126">
        <f>Q14+Q24+Q34+Q55+Q63+Q67+Q79+Q101+Q113+Q119+Q127+Q144+Q168+Q171+Q175+Q179+Q183+Q203+Q209</f>
        <v>113888453</v>
      </c>
      <c r="R211" s="124">
        <f>SUM(R2:R209)</f>
        <v>1970</v>
      </c>
      <c r="S211" s="128">
        <f t="shared" si="73"/>
        <v>57811.397461928937</v>
      </c>
      <c r="U211" s="126">
        <f>U14+U24+U34+U55+U63+U67+U79+U101+U113+U119+U127+U144+U168+U171+U175+U179+U183+U203+U209</f>
        <v>162360000</v>
      </c>
    </row>
    <row r="215" spans="1:21" x14ac:dyDescent="0.2">
      <c r="C215" s="33">
        <v>1</v>
      </c>
      <c r="D215" s="33">
        <v>136</v>
      </c>
    </row>
    <row r="216" spans="1:21" x14ac:dyDescent="0.2">
      <c r="C216" s="33">
        <v>2</v>
      </c>
      <c r="D216" s="33">
        <v>50</v>
      </c>
    </row>
    <row r="217" spans="1:21" x14ac:dyDescent="0.2">
      <c r="C217" s="33">
        <v>3</v>
      </c>
      <c r="D217" s="33">
        <v>47</v>
      </c>
    </row>
    <row r="218" spans="1:21" x14ac:dyDescent="0.2">
      <c r="C218" s="33">
        <v>4</v>
      </c>
      <c r="D218" s="33">
        <v>130</v>
      </c>
    </row>
    <row r="219" spans="1:21" x14ac:dyDescent="0.2">
      <c r="C219" s="33">
        <v>5</v>
      </c>
      <c r="D219" s="33">
        <v>38</v>
      </c>
    </row>
    <row r="220" spans="1:21" x14ac:dyDescent="0.2">
      <c r="C220" s="33">
        <v>6</v>
      </c>
      <c r="D220" s="33">
        <v>100</v>
      </c>
    </row>
    <row r="221" spans="1:21" x14ac:dyDescent="0.2">
      <c r="C221" s="33">
        <v>7</v>
      </c>
      <c r="D221" s="33">
        <v>46</v>
      </c>
    </row>
    <row r="222" spans="1:21" x14ac:dyDescent="0.2">
      <c r="C222" s="33">
        <v>8</v>
      </c>
      <c r="D222" s="33">
        <v>130</v>
      </c>
    </row>
    <row r="223" spans="1:21" x14ac:dyDescent="0.2">
      <c r="C223" s="33">
        <v>9</v>
      </c>
      <c r="D223" s="33">
        <v>100</v>
      </c>
    </row>
    <row r="224" spans="1:21" x14ac:dyDescent="0.2">
      <c r="C224" s="33">
        <v>10</v>
      </c>
      <c r="D224" s="33">
        <v>25</v>
      </c>
    </row>
    <row r="225" spans="3:4" x14ac:dyDescent="0.2">
      <c r="C225" s="33">
        <v>11</v>
      </c>
      <c r="D225" s="33">
        <v>50</v>
      </c>
    </row>
    <row r="226" spans="3:4" x14ac:dyDescent="0.2">
      <c r="C226" s="33">
        <v>12</v>
      </c>
      <c r="D226" s="33">
        <v>111</v>
      </c>
    </row>
    <row r="227" spans="3:4" x14ac:dyDescent="0.2">
      <c r="C227" s="33">
        <v>13</v>
      </c>
      <c r="D227" s="33">
        <v>123</v>
      </c>
    </row>
    <row r="228" spans="3:4" x14ac:dyDescent="0.2">
      <c r="C228" s="33">
        <v>14</v>
      </c>
      <c r="D228" s="33">
        <v>88</v>
      </c>
    </row>
    <row r="229" spans="3:4" x14ac:dyDescent="0.2">
      <c r="C229" s="33">
        <v>15</v>
      </c>
    </row>
    <row r="230" spans="3:4" x14ac:dyDescent="0.2">
      <c r="C230" s="33">
        <v>16</v>
      </c>
      <c r="D230" s="33">
        <v>60</v>
      </c>
    </row>
    <row r="231" spans="3:4" x14ac:dyDescent="0.2">
      <c r="C231" s="33">
        <v>17</v>
      </c>
      <c r="D231" s="33">
        <v>124</v>
      </c>
    </row>
    <row r="232" spans="3:4" x14ac:dyDescent="0.2">
      <c r="C232" s="33">
        <v>18</v>
      </c>
      <c r="D232" s="33">
        <v>112</v>
      </c>
    </row>
    <row r="233" spans="3:4" x14ac:dyDescent="0.2">
      <c r="C233" s="33">
        <v>19</v>
      </c>
    </row>
    <row r="234" spans="3:4" x14ac:dyDescent="0.2">
      <c r="C234" s="33">
        <v>20</v>
      </c>
      <c r="D234" s="33">
        <v>80</v>
      </c>
    </row>
    <row r="235" spans="3:4" x14ac:dyDescent="0.2">
      <c r="C235" s="33">
        <v>21</v>
      </c>
      <c r="D235" s="33">
        <v>250</v>
      </c>
    </row>
    <row r="236" spans="3:4" x14ac:dyDescent="0.2">
      <c r="C236" s="33">
        <v>22</v>
      </c>
      <c r="D236" s="33">
        <v>170</v>
      </c>
    </row>
    <row r="237" spans="3:4" x14ac:dyDescent="0.2">
      <c r="D237" s="33">
        <f>SUM(D215:D236)</f>
        <v>1970</v>
      </c>
    </row>
  </sheetData>
  <autoFilter ref="A1:S14" xr:uid="{586997E6-4D77-8F41-97CF-9C98D82035DB}"/>
  <pageMargins left="0.7" right="0.7" top="0.75" bottom="0.75" header="0.3" footer="0.3"/>
  <pageSetup paperSize="9" scale="71" fitToHeight="4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DB64-D827-4BDC-9461-0AC5F9AB30EA}">
  <sheetPr>
    <pageSetUpPr fitToPage="1"/>
  </sheetPr>
  <dimension ref="A1:G23"/>
  <sheetViews>
    <sheetView workbookViewId="0">
      <selection activeCell="G23" sqref="A1:G23"/>
    </sheetView>
  </sheetViews>
  <sheetFormatPr baseColWidth="10" defaultColWidth="9" defaultRowHeight="16" x14ac:dyDescent="0.2"/>
  <cols>
    <col min="2" max="2" width="23" customWidth="1"/>
    <col min="3" max="3" width="12.33203125" customWidth="1"/>
    <col min="4" max="4" width="14" customWidth="1"/>
    <col min="5" max="5" width="12.6640625" customWidth="1"/>
    <col min="6" max="6" width="16.1640625" bestFit="1" customWidth="1"/>
    <col min="7" max="7" width="20.33203125" customWidth="1"/>
  </cols>
  <sheetData>
    <row r="1" spans="1:7" s="142" customFormat="1" ht="40.5" customHeight="1" x14ac:dyDescent="0.2">
      <c r="A1" s="153" t="s">
        <v>617</v>
      </c>
      <c r="B1" s="153" t="s">
        <v>625</v>
      </c>
      <c r="C1" s="153" t="s">
        <v>626</v>
      </c>
      <c r="D1" s="153" t="s">
        <v>627</v>
      </c>
      <c r="E1" s="153" t="s">
        <v>628</v>
      </c>
      <c r="F1" s="153" t="s">
        <v>629</v>
      </c>
      <c r="G1" s="153" t="s">
        <v>624</v>
      </c>
    </row>
    <row r="2" spans="1:7" s="143" customFormat="1" ht="19" x14ac:dyDescent="0.2">
      <c r="A2" s="146">
        <v>1</v>
      </c>
      <c r="B2" s="147">
        <f>'Турар Лотлар '!Q14</f>
        <v>7332800</v>
      </c>
      <c r="C2" s="148">
        <v>13600</v>
      </c>
      <c r="D2" s="147">
        <f>B2/C2</f>
        <v>539.17647058823525</v>
      </c>
      <c r="E2" s="148">
        <v>800</v>
      </c>
      <c r="F2" s="148">
        <f>C2*E2</f>
        <v>10880000</v>
      </c>
      <c r="G2" s="151">
        <f>F2-B2</f>
        <v>3547200</v>
      </c>
    </row>
    <row r="3" spans="1:7" s="143" customFormat="1" ht="19" x14ac:dyDescent="0.2">
      <c r="A3" s="146">
        <v>2</v>
      </c>
      <c r="B3" s="147">
        <f>'Турар Лотлар '!Q24</f>
        <v>3239500</v>
      </c>
      <c r="C3" s="148">
        <v>5000</v>
      </c>
      <c r="D3" s="147">
        <f t="shared" ref="D3:D21" si="0">B3/C3</f>
        <v>647.9</v>
      </c>
      <c r="E3" s="148">
        <v>600</v>
      </c>
      <c r="F3" s="148">
        <f t="shared" ref="F3:F21" si="1">C3*E3</f>
        <v>3000000</v>
      </c>
      <c r="G3" s="151">
        <f t="shared" ref="G3:G21" si="2">F3-B3</f>
        <v>-239500</v>
      </c>
    </row>
    <row r="4" spans="1:7" s="143" customFormat="1" ht="19" x14ac:dyDescent="0.2">
      <c r="A4" s="146">
        <v>3</v>
      </c>
      <c r="B4" s="147">
        <f>'Турар Лотлар '!Q34</f>
        <v>2703000</v>
      </c>
      <c r="C4" s="148">
        <v>4700</v>
      </c>
      <c r="D4" s="147">
        <f t="shared" si="0"/>
        <v>575.10638297872345</v>
      </c>
      <c r="E4" s="148">
        <v>600</v>
      </c>
      <c r="F4" s="148">
        <f t="shared" si="1"/>
        <v>2820000</v>
      </c>
      <c r="G4" s="151">
        <f t="shared" si="2"/>
        <v>117000</v>
      </c>
    </row>
    <row r="5" spans="1:7" s="143" customFormat="1" ht="19" x14ac:dyDescent="0.2">
      <c r="A5" s="146">
        <v>4</v>
      </c>
      <c r="B5" s="147">
        <f>'Турар Лотлар '!Q55</f>
        <v>9830603</v>
      </c>
      <c r="C5" s="148">
        <v>13000</v>
      </c>
      <c r="D5" s="147">
        <f t="shared" si="0"/>
        <v>756.20023076923076</v>
      </c>
      <c r="E5" s="148">
        <v>600</v>
      </c>
      <c r="F5" s="148">
        <f t="shared" si="1"/>
        <v>7800000</v>
      </c>
      <c r="G5" s="152">
        <f t="shared" si="2"/>
        <v>-2030603</v>
      </c>
    </row>
    <row r="6" spans="1:7" s="143" customFormat="1" ht="19" x14ac:dyDescent="0.2">
      <c r="A6" s="146">
        <v>5</v>
      </c>
      <c r="B6" s="147">
        <f>'Турар Лотлар '!Q63</f>
        <v>3306800</v>
      </c>
      <c r="C6" s="148">
        <v>3800</v>
      </c>
      <c r="D6" s="147">
        <f t="shared" si="0"/>
        <v>870.21052631578948</v>
      </c>
      <c r="E6" s="148">
        <v>600</v>
      </c>
      <c r="F6" s="148">
        <f t="shared" si="1"/>
        <v>2280000</v>
      </c>
      <c r="G6" s="152">
        <f t="shared" si="2"/>
        <v>-1026800</v>
      </c>
    </row>
    <row r="7" spans="1:7" s="143" customFormat="1" ht="19" x14ac:dyDescent="0.2">
      <c r="A7" s="146">
        <v>6</v>
      </c>
      <c r="B7" s="147">
        <f>'Турар Лотлар '!Q67</f>
        <v>546300</v>
      </c>
      <c r="C7" s="148">
        <v>10000</v>
      </c>
      <c r="D7" s="147">
        <f t="shared" si="0"/>
        <v>54.63</v>
      </c>
      <c r="E7" s="148">
        <v>600</v>
      </c>
      <c r="F7" s="148">
        <f t="shared" si="1"/>
        <v>6000000</v>
      </c>
      <c r="G7" s="151">
        <f t="shared" si="2"/>
        <v>5453700</v>
      </c>
    </row>
    <row r="8" spans="1:7" s="143" customFormat="1" ht="19" x14ac:dyDescent="0.2">
      <c r="A8" s="146">
        <v>7</v>
      </c>
      <c r="B8" s="147">
        <f>'Турар Лотлар '!Q79</f>
        <v>4161400</v>
      </c>
      <c r="C8" s="148">
        <v>4600</v>
      </c>
      <c r="D8" s="147">
        <f t="shared" si="0"/>
        <v>904.6521739130435</v>
      </c>
      <c r="E8" s="148">
        <v>600</v>
      </c>
      <c r="F8" s="148">
        <f t="shared" si="1"/>
        <v>2760000</v>
      </c>
      <c r="G8" s="152">
        <f t="shared" si="2"/>
        <v>-1401400</v>
      </c>
    </row>
    <row r="9" spans="1:7" s="143" customFormat="1" ht="19" x14ac:dyDescent="0.2">
      <c r="A9" s="146">
        <v>8</v>
      </c>
      <c r="B9" s="147">
        <f>'Турар Лотлар '!Q101</f>
        <v>8624700</v>
      </c>
      <c r="C9" s="148">
        <v>13000</v>
      </c>
      <c r="D9" s="147">
        <f t="shared" si="0"/>
        <v>663.43846153846152</v>
      </c>
      <c r="E9" s="148">
        <v>600</v>
      </c>
      <c r="F9" s="148">
        <f t="shared" si="1"/>
        <v>7800000</v>
      </c>
      <c r="G9" s="151">
        <f t="shared" si="2"/>
        <v>-824700</v>
      </c>
    </row>
    <row r="10" spans="1:7" s="143" customFormat="1" ht="19" x14ac:dyDescent="0.2">
      <c r="A10" s="146">
        <v>9</v>
      </c>
      <c r="B10" s="147">
        <f>'Турар Лотлар '!Q113</f>
        <v>13770700</v>
      </c>
      <c r="C10" s="148">
        <v>10000</v>
      </c>
      <c r="D10" s="147">
        <f t="shared" si="0"/>
        <v>1377.07</v>
      </c>
      <c r="E10" s="148">
        <v>600</v>
      </c>
      <c r="F10" s="148">
        <f t="shared" si="1"/>
        <v>6000000</v>
      </c>
      <c r="G10" s="152">
        <f t="shared" si="2"/>
        <v>-7770700</v>
      </c>
    </row>
    <row r="11" spans="1:7" s="143" customFormat="1" ht="19" x14ac:dyDescent="0.2">
      <c r="A11" s="146">
        <v>10</v>
      </c>
      <c r="B11" s="147">
        <f>'Турар Лотлар '!Q119</f>
        <v>1593500</v>
      </c>
      <c r="C11" s="148">
        <v>2500</v>
      </c>
      <c r="D11" s="147">
        <f t="shared" si="0"/>
        <v>637.4</v>
      </c>
      <c r="E11" s="148">
        <v>600</v>
      </c>
      <c r="F11" s="148">
        <f t="shared" si="1"/>
        <v>1500000</v>
      </c>
      <c r="G11" s="151">
        <f t="shared" si="2"/>
        <v>-93500</v>
      </c>
    </row>
    <row r="12" spans="1:7" s="143" customFormat="1" ht="19" x14ac:dyDescent="0.2">
      <c r="A12" s="146">
        <v>11</v>
      </c>
      <c r="B12" s="150">
        <f>'Турар Лотлар '!Q120</f>
        <v>0</v>
      </c>
      <c r="C12" s="148">
        <v>5000</v>
      </c>
      <c r="D12" s="147">
        <v>0</v>
      </c>
      <c r="E12" s="148">
        <v>600</v>
      </c>
      <c r="F12" s="148">
        <f t="shared" si="1"/>
        <v>3000000</v>
      </c>
      <c r="G12" s="151">
        <f t="shared" si="2"/>
        <v>3000000</v>
      </c>
    </row>
    <row r="13" spans="1:7" s="143" customFormat="1" ht="19" x14ac:dyDescent="0.2">
      <c r="A13" s="146">
        <v>12</v>
      </c>
      <c r="B13" s="147">
        <f>'Турар Лотлар '!Q127</f>
        <v>2083000</v>
      </c>
      <c r="C13" s="148">
        <v>11100</v>
      </c>
      <c r="D13" s="147">
        <f t="shared" si="0"/>
        <v>187.65765765765767</v>
      </c>
      <c r="E13" s="148">
        <v>600</v>
      </c>
      <c r="F13" s="148">
        <f t="shared" si="1"/>
        <v>6660000</v>
      </c>
      <c r="G13" s="151">
        <f t="shared" si="2"/>
        <v>4577000</v>
      </c>
    </row>
    <row r="14" spans="1:7" s="143" customFormat="1" ht="19" x14ac:dyDescent="0.2">
      <c r="A14" s="146">
        <v>13</v>
      </c>
      <c r="B14" s="147">
        <f>'Турар Лотлар '!Q144</f>
        <v>8435400</v>
      </c>
      <c r="C14" s="148">
        <v>12300</v>
      </c>
      <c r="D14" s="147">
        <f t="shared" si="0"/>
        <v>685.80487804878044</v>
      </c>
      <c r="E14" s="148">
        <v>600</v>
      </c>
      <c r="F14" s="148">
        <f t="shared" si="1"/>
        <v>7380000</v>
      </c>
      <c r="G14" s="151">
        <f t="shared" si="2"/>
        <v>-1055400</v>
      </c>
    </row>
    <row r="15" spans="1:7" s="143" customFormat="1" ht="19" x14ac:dyDescent="0.2">
      <c r="A15" s="146">
        <v>14</v>
      </c>
      <c r="B15" s="147">
        <f>'Турар Лотлар '!Q168</f>
        <v>9098900</v>
      </c>
      <c r="C15" s="148">
        <v>8800</v>
      </c>
      <c r="D15" s="147">
        <f t="shared" si="0"/>
        <v>1033.965909090909</v>
      </c>
      <c r="E15" s="148">
        <v>600</v>
      </c>
      <c r="F15" s="148">
        <f t="shared" si="1"/>
        <v>5280000</v>
      </c>
      <c r="G15" s="152">
        <f t="shared" si="2"/>
        <v>-3818900</v>
      </c>
    </row>
    <row r="16" spans="1:7" s="143" customFormat="1" ht="19" x14ac:dyDescent="0.2">
      <c r="A16" s="146">
        <v>16</v>
      </c>
      <c r="B16" s="147">
        <f>'Турар Лотлар '!Q171</f>
        <v>4285000</v>
      </c>
      <c r="C16" s="148">
        <v>6000</v>
      </c>
      <c r="D16" s="147">
        <f t="shared" si="0"/>
        <v>714.16666666666663</v>
      </c>
      <c r="E16" s="148">
        <v>800</v>
      </c>
      <c r="F16" s="148">
        <f t="shared" si="1"/>
        <v>4800000</v>
      </c>
      <c r="G16" s="151">
        <f t="shared" si="2"/>
        <v>515000</v>
      </c>
    </row>
    <row r="17" spans="1:7" s="144" customFormat="1" ht="19" x14ac:dyDescent="0.2">
      <c r="A17" s="146">
        <v>17</v>
      </c>
      <c r="B17" s="147">
        <f>'Турар Лотлар '!Q175</f>
        <v>15333000</v>
      </c>
      <c r="C17" s="156">
        <v>12400</v>
      </c>
      <c r="D17" s="147">
        <f t="shared" si="0"/>
        <v>1236.5322580645161</v>
      </c>
      <c r="E17" s="148">
        <v>800</v>
      </c>
      <c r="F17" s="148">
        <f t="shared" si="1"/>
        <v>9920000</v>
      </c>
      <c r="G17" s="152">
        <f t="shared" si="2"/>
        <v>-5413000</v>
      </c>
    </row>
    <row r="18" spans="1:7" s="143" customFormat="1" ht="19" x14ac:dyDescent="0.2">
      <c r="A18" s="146">
        <v>18</v>
      </c>
      <c r="B18" s="147">
        <f>'Турар Лотлар '!Q179</f>
        <v>1000000</v>
      </c>
      <c r="C18" s="148">
        <v>11200</v>
      </c>
      <c r="D18" s="147">
        <f t="shared" si="0"/>
        <v>89.285714285714292</v>
      </c>
      <c r="E18" s="148">
        <v>800</v>
      </c>
      <c r="F18" s="148">
        <f t="shared" si="1"/>
        <v>8960000</v>
      </c>
      <c r="G18" s="151">
        <f t="shared" si="2"/>
        <v>7960000</v>
      </c>
    </row>
    <row r="19" spans="1:7" s="143" customFormat="1" ht="19" x14ac:dyDescent="0.2">
      <c r="A19" s="146">
        <v>20</v>
      </c>
      <c r="B19" s="147">
        <f>'Турар Лотлар '!Q183</f>
        <v>1045000</v>
      </c>
      <c r="C19" s="148">
        <v>8000</v>
      </c>
      <c r="D19" s="147">
        <f t="shared" si="0"/>
        <v>130.625</v>
      </c>
      <c r="E19" s="148">
        <v>900</v>
      </c>
      <c r="F19" s="148">
        <f t="shared" si="1"/>
        <v>7200000</v>
      </c>
      <c r="G19" s="151">
        <f t="shared" si="2"/>
        <v>6155000</v>
      </c>
    </row>
    <row r="20" spans="1:7" s="144" customFormat="1" ht="19" x14ac:dyDescent="0.2">
      <c r="A20" s="146">
        <v>21</v>
      </c>
      <c r="B20" s="147">
        <f>'Турар Лотлар '!Q203</f>
        <v>9474150</v>
      </c>
      <c r="C20" s="156">
        <v>25000</v>
      </c>
      <c r="D20" s="147">
        <f t="shared" si="0"/>
        <v>378.96600000000001</v>
      </c>
      <c r="E20" s="148">
        <v>900</v>
      </c>
      <c r="F20" s="148">
        <f t="shared" si="1"/>
        <v>22500000</v>
      </c>
      <c r="G20" s="151">
        <f t="shared" si="2"/>
        <v>13025850</v>
      </c>
    </row>
    <row r="21" spans="1:7" s="143" customFormat="1" ht="19" x14ac:dyDescent="0.2">
      <c r="A21" s="146">
        <v>22</v>
      </c>
      <c r="B21" s="147">
        <f>'Турар Лотлар '!Q209</f>
        <v>8024700</v>
      </c>
      <c r="C21" s="148">
        <v>17000</v>
      </c>
      <c r="D21" s="147">
        <f t="shared" si="0"/>
        <v>472.04117647058825</v>
      </c>
      <c r="E21" s="148">
        <v>900</v>
      </c>
      <c r="F21" s="148">
        <f t="shared" si="1"/>
        <v>15300000</v>
      </c>
      <c r="G21" s="151">
        <f t="shared" si="2"/>
        <v>7275300</v>
      </c>
    </row>
    <row r="22" spans="1:7" s="145" customFormat="1" ht="21" x14ac:dyDescent="0.2">
      <c r="A22" s="154"/>
      <c r="B22" s="155">
        <f>SUM(B2:B21)</f>
        <v>113888453</v>
      </c>
      <c r="C22" s="155">
        <f t="shared" ref="C22" si="3">SUM(C2:C21)</f>
        <v>197000</v>
      </c>
      <c r="D22" s="155">
        <f>AVERAGE(D2:D21)</f>
        <v>597.74147531941571</v>
      </c>
      <c r="E22" s="155">
        <f>AVERAGE(E2:E21)</f>
        <v>685</v>
      </c>
      <c r="F22" s="155">
        <f>SUM(F2:F21)</f>
        <v>141840000</v>
      </c>
      <c r="G22" s="155">
        <f>F22-B22</f>
        <v>27951547</v>
      </c>
    </row>
    <row r="23" spans="1:7" x14ac:dyDescent="0.2">
      <c r="D23" s="166" t="s">
        <v>623</v>
      </c>
      <c r="E23" s="166"/>
      <c r="G23" s="149"/>
    </row>
  </sheetData>
  <mergeCells count="1">
    <mergeCell ref="D23:E23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1A44-ED83-2947-AA26-B5684B44C673}">
  <sheetPr>
    <pageSetUpPr fitToPage="1"/>
  </sheetPr>
  <dimension ref="A1:N34"/>
  <sheetViews>
    <sheetView zoomScale="90" zoomScaleNormal="90" workbookViewId="0">
      <selection activeCell="C3" sqref="C3"/>
    </sheetView>
  </sheetViews>
  <sheetFormatPr baseColWidth="10" defaultColWidth="10.83203125" defaultRowHeight="14" x14ac:dyDescent="0.15"/>
  <cols>
    <col min="1" max="1" width="9.1640625" style="40" bestFit="1" customWidth="1"/>
    <col min="2" max="3" width="12" style="40" customWidth="1"/>
    <col min="4" max="4" width="52.5" style="40" bestFit="1" customWidth="1"/>
    <col min="5" max="5" width="13.1640625" style="40" customWidth="1"/>
    <col min="6" max="6" width="13.1640625" style="40" bestFit="1" customWidth="1"/>
    <col min="7" max="7" width="32.83203125" style="40" hidden="1" customWidth="1"/>
    <col min="8" max="8" width="121.1640625" style="40" hidden="1" customWidth="1"/>
    <col min="9" max="9" width="17.33203125" style="40" bestFit="1" customWidth="1"/>
    <col min="10" max="10" width="8.83203125" style="40" customWidth="1"/>
    <col min="11" max="11" width="14.33203125" style="40" customWidth="1"/>
    <col min="12" max="12" width="11.6640625" style="40" customWidth="1"/>
    <col min="13" max="13" width="21.83203125" style="40" bestFit="1" customWidth="1"/>
    <col min="14" max="14" width="65.6640625" style="40" bestFit="1" customWidth="1"/>
    <col min="15" max="16384" width="10.83203125" style="40"/>
  </cols>
  <sheetData>
    <row r="1" spans="1:13" ht="18" x14ac:dyDescent="0.15">
      <c r="A1" s="161" t="s">
        <v>500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</row>
    <row r="2" spans="1:13" ht="76" x14ac:dyDescent="0.15">
      <c r="A2" s="53" t="s">
        <v>501</v>
      </c>
      <c r="B2" s="53" t="s">
        <v>502</v>
      </c>
      <c r="C2" s="53"/>
      <c r="D2" s="53" t="s">
        <v>503</v>
      </c>
      <c r="E2" s="53" t="s">
        <v>504</v>
      </c>
      <c r="F2" s="53" t="s">
        <v>6</v>
      </c>
      <c r="G2" s="53" t="s">
        <v>4</v>
      </c>
      <c r="H2" s="53" t="s">
        <v>505</v>
      </c>
      <c r="I2" s="53" t="s">
        <v>7</v>
      </c>
      <c r="J2" s="53" t="s">
        <v>506</v>
      </c>
      <c r="K2" s="53" t="s">
        <v>507</v>
      </c>
      <c r="L2" s="53" t="s">
        <v>508</v>
      </c>
      <c r="M2" s="53" t="s">
        <v>509</v>
      </c>
    </row>
    <row r="3" spans="1:13" ht="19" x14ac:dyDescent="0.15">
      <c r="A3" s="52">
        <v>1</v>
      </c>
      <c r="B3" s="78">
        <v>134</v>
      </c>
      <c r="C3" s="78">
        <v>14</v>
      </c>
      <c r="D3" s="79" t="s">
        <v>510</v>
      </c>
      <c r="E3" s="6" t="s">
        <v>511</v>
      </c>
      <c r="F3" s="6"/>
      <c r="G3" s="80" t="s">
        <v>512</v>
      </c>
      <c r="H3" s="81" t="s">
        <v>513</v>
      </c>
      <c r="I3" s="82">
        <v>1150</v>
      </c>
      <c r="J3" s="83">
        <f t="shared" ref="J3:J17" si="0">I3/100</f>
        <v>11.5</v>
      </c>
      <c r="K3" s="83"/>
      <c r="L3" s="84"/>
      <c r="M3" s="85">
        <f t="shared" ref="M3:M17" si="1">J3*100000</f>
        <v>1150000</v>
      </c>
    </row>
    <row r="4" spans="1:13" ht="19" x14ac:dyDescent="0.15">
      <c r="A4" s="52">
        <v>2</v>
      </c>
      <c r="B4" s="52">
        <v>136</v>
      </c>
      <c r="C4" s="52"/>
      <c r="D4" s="79" t="s">
        <v>514</v>
      </c>
      <c r="E4" s="6" t="s">
        <v>515</v>
      </c>
      <c r="F4" s="6" t="s">
        <v>516</v>
      </c>
      <c r="G4" s="79" t="s">
        <v>517</v>
      </c>
      <c r="H4" s="86" t="s">
        <v>518</v>
      </c>
      <c r="I4" s="84">
        <v>211</v>
      </c>
      <c r="J4" s="83">
        <f t="shared" si="0"/>
        <v>2.11</v>
      </c>
      <c r="K4" s="83"/>
      <c r="L4" s="84"/>
      <c r="M4" s="85">
        <f t="shared" si="1"/>
        <v>211000</v>
      </c>
    </row>
    <row r="5" spans="1:13" ht="19" x14ac:dyDescent="0.15">
      <c r="A5" s="52">
        <v>3</v>
      </c>
      <c r="B5" s="52">
        <v>137</v>
      </c>
      <c r="C5" s="52"/>
      <c r="D5" s="79" t="s">
        <v>519</v>
      </c>
      <c r="E5" s="6" t="s">
        <v>515</v>
      </c>
      <c r="F5" s="6" t="s">
        <v>516</v>
      </c>
      <c r="G5" s="79" t="s">
        <v>520</v>
      </c>
      <c r="H5" s="86" t="s">
        <v>521</v>
      </c>
      <c r="I5" s="84">
        <v>3663</v>
      </c>
      <c r="J5" s="83">
        <f t="shared" si="0"/>
        <v>36.630000000000003</v>
      </c>
      <c r="K5" s="83"/>
      <c r="L5" s="84"/>
      <c r="M5" s="85">
        <f t="shared" si="1"/>
        <v>3663000.0000000005</v>
      </c>
    </row>
    <row r="6" spans="1:13" ht="38" x14ac:dyDescent="0.15">
      <c r="A6" s="52">
        <v>4</v>
      </c>
      <c r="B6" s="52">
        <v>138</v>
      </c>
      <c r="C6" s="52"/>
      <c r="D6" s="79" t="s">
        <v>522</v>
      </c>
      <c r="E6" s="6" t="s">
        <v>515</v>
      </c>
      <c r="F6" s="6" t="s">
        <v>523</v>
      </c>
      <c r="G6" s="79" t="s">
        <v>524</v>
      </c>
      <c r="H6" s="86" t="s">
        <v>525</v>
      </c>
      <c r="I6" s="84">
        <v>1751</v>
      </c>
      <c r="J6" s="83">
        <f t="shared" si="0"/>
        <v>17.510000000000002</v>
      </c>
      <c r="K6" s="83"/>
      <c r="L6" s="84"/>
      <c r="M6" s="85">
        <f t="shared" si="1"/>
        <v>1751000.0000000002</v>
      </c>
    </row>
    <row r="7" spans="1:13" ht="20.25" customHeight="1" x14ac:dyDescent="0.15">
      <c r="A7" s="52">
        <v>5</v>
      </c>
      <c r="B7" s="52">
        <v>139</v>
      </c>
      <c r="C7" s="52"/>
      <c r="D7" s="79" t="s">
        <v>526</v>
      </c>
      <c r="E7" s="6" t="s">
        <v>515</v>
      </c>
      <c r="F7" s="6" t="s">
        <v>516</v>
      </c>
      <c r="G7" s="79" t="s">
        <v>527</v>
      </c>
      <c r="H7" s="86" t="s">
        <v>528</v>
      </c>
      <c r="I7" s="84">
        <v>516</v>
      </c>
      <c r="J7" s="83">
        <f t="shared" si="0"/>
        <v>5.16</v>
      </c>
      <c r="K7" s="83"/>
      <c r="L7" s="84"/>
      <c r="M7" s="85">
        <f t="shared" si="1"/>
        <v>516000</v>
      </c>
    </row>
    <row r="8" spans="1:13" ht="19" x14ac:dyDescent="0.15">
      <c r="A8" s="52">
        <v>6</v>
      </c>
      <c r="B8" s="52">
        <v>140</v>
      </c>
      <c r="C8" s="52"/>
      <c r="D8" s="79" t="s">
        <v>529</v>
      </c>
      <c r="E8" s="6" t="s">
        <v>515</v>
      </c>
      <c r="F8" s="6" t="s">
        <v>516</v>
      </c>
      <c r="G8" s="79" t="s">
        <v>530</v>
      </c>
      <c r="H8" s="86" t="s">
        <v>531</v>
      </c>
      <c r="I8" s="84">
        <v>2152</v>
      </c>
      <c r="J8" s="83">
        <f t="shared" si="0"/>
        <v>21.52</v>
      </c>
      <c r="K8" s="83"/>
      <c r="L8" s="84"/>
      <c r="M8" s="85">
        <f t="shared" si="1"/>
        <v>2152000</v>
      </c>
    </row>
    <row r="9" spans="1:13" ht="19" x14ac:dyDescent="0.15">
      <c r="A9" s="52">
        <v>7</v>
      </c>
      <c r="B9" s="52">
        <v>144</v>
      </c>
      <c r="C9" s="52"/>
      <c r="D9" s="79" t="s">
        <v>532</v>
      </c>
      <c r="E9" s="6" t="s">
        <v>533</v>
      </c>
      <c r="F9" s="6" t="s">
        <v>534</v>
      </c>
      <c r="G9" s="79" t="s">
        <v>535</v>
      </c>
      <c r="H9" s="86" t="s">
        <v>536</v>
      </c>
      <c r="I9" s="84">
        <v>240</v>
      </c>
      <c r="J9" s="83">
        <f t="shared" si="0"/>
        <v>2.4</v>
      </c>
      <c r="K9" s="83"/>
      <c r="L9" s="84">
        <v>27</v>
      </c>
      <c r="M9" s="85">
        <f t="shared" si="1"/>
        <v>240000</v>
      </c>
    </row>
    <row r="10" spans="1:13" ht="19" x14ac:dyDescent="0.15">
      <c r="A10" s="52">
        <v>8</v>
      </c>
      <c r="B10" s="52">
        <v>155</v>
      </c>
      <c r="C10" s="52">
        <v>9</v>
      </c>
      <c r="D10" s="79" t="s">
        <v>537</v>
      </c>
      <c r="E10" s="6" t="s">
        <v>538</v>
      </c>
      <c r="F10" s="6">
        <v>42</v>
      </c>
      <c r="G10" s="79" t="s">
        <v>539</v>
      </c>
      <c r="H10" s="86" t="s">
        <v>540</v>
      </c>
      <c r="I10" s="84">
        <v>2328</v>
      </c>
      <c r="J10" s="83">
        <f t="shared" si="0"/>
        <v>23.28</v>
      </c>
      <c r="K10" s="83"/>
      <c r="L10" s="84"/>
      <c r="M10" s="85">
        <f t="shared" si="1"/>
        <v>2328000</v>
      </c>
    </row>
    <row r="11" spans="1:13" ht="19" x14ac:dyDescent="0.15">
      <c r="A11" s="52">
        <v>9</v>
      </c>
      <c r="B11" s="52">
        <v>157</v>
      </c>
      <c r="C11" s="52"/>
      <c r="D11" s="79" t="s">
        <v>541</v>
      </c>
      <c r="E11" s="6" t="s">
        <v>538</v>
      </c>
      <c r="F11" s="6">
        <v>34</v>
      </c>
      <c r="G11" s="79" t="s">
        <v>542</v>
      </c>
      <c r="H11" s="86" t="s">
        <v>543</v>
      </c>
      <c r="I11" s="84">
        <v>1000</v>
      </c>
      <c r="J11" s="83">
        <f t="shared" si="0"/>
        <v>10</v>
      </c>
      <c r="K11" s="83"/>
      <c r="L11" s="84">
        <v>7</v>
      </c>
      <c r="M11" s="85">
        <f t="shared" si="1"/>
        <v>1000000</v>
      </c>
    </row>
    <row r="12" spans="1:13" ht="19" x14ac:dyDescent="0.15">
      <c r="A12" s="52">
        <v>10</v>
      </c>
      <c r="B12" s="52">
        <v>158</v>
      </c>
      <c r="C12" s="52"/>
      <c r="D12" s="79" t="s">
        <v>544</v>
      </c>
      <c r="E12" s="6" t="s">
        <v>545</v>
      </c>
      <c r="F12" s="6"/>
      <c r="G12" s="79" t="s">
        <v>546</v>
      </c>
      <c r="H12" s="86" t="s">
        <v>547</v>
      </c>
      <c r="I12" s="84">
        <v>333</v>
      </c>
      <c r="J12" s="83">
        <f t="shared" si="0"/>
        <v>3.33</v>
      </c>
      <c r="K12" s="83"/>
      <c r="L12" s="84"/>
      <c r="M12" s="85">
        <f t="shared" si="1"/>
        <v>333000</v>
      </c>
    </row>
    <row r="13" spans="1:13" ht="19" x14ac:dyDescent="0.15">
      <c r="A13" s="52">
        <v>11</v>
      </c>
      <c r="B13" s="52">
        <v>159</v>
      </c>
      <c r="C13" s="52"/>
      <c r="D13" s="79" t="s">
        <v>548</v>
      </c>
      <c r="E13" s="6" t="s">
        <v>538</v>
      </c>
      <c r="F13" s="6">
        <v>34</v>
      </c>
      <c r="G13" s="79" t="s">
        <v>549</v>
      </c>
      <c r="H13" s="86" t="s">
        <v>550</v>
      </c>
      <c r="I13" s="84">
        <v>4285</v>
      </c>
      <c r="J13" s="83">
        <f t="shared" si="0"/>
        <v>42.85</v>
      </c>
      <c r="K13" s="83"/>
      <c r="L13" s="84"/>
      <c r="M13" s="85">
        <f t="shared" si="1"/>
        <v>4285000</v>
      </c>
    </row>
    <row r="14" spans="1:13" ht="19" x14ac:dyDescent="0.15">
      <c r="A14" s="52">
        <v>12</v>
      </c>
      <c r="B14" s="52">
        <v>160</v>
      </c>
      <c r="C14" s="52"/>
      <c r="D14" s="79" t="s">
        <v>551</v>
      </c>
      <c r="E14" s="6" t="s">
        <v>515</v>
      </c>
      <c r="F14" s="6" t="s">
        <v>552</v>
      </c>
      <c r="G14" s="79" t="s">
        <v>553</v>
      </c>
      <c r="H14" s="86" t="s">
        <v>554</v>
      </c>
      <c r="I14" s="84">
        <v>3600</v>
      </c>
      <c r="J14" s="83">
        <f t="shared" si="0"/>
        <v>36</v>
      </c>
      <c r="K14" s="83"/>
      <c r="L14" s="84"/>
      <c r="M14" s="85">
        <f t="shared" si="1"/>
        <v>3600000</v>
      </c>
    </row>
    <row r="15" spans="1:13" ht="21.5" customHeight="1" x14ac:dyDescent="0.15">
      <c r="A15" s="52">
        <v>13</v>
      </c>
      <c r="B15" s="187">
        <v>20</v>
      </c>
      <c r="C15" s="184">
        <v>3</v>
      </c>
      <c r="D15" s="87" t="s">
        <v>555</v>
      </c>
      <c r="E15" s="79" t="s">
        <v>545</v>
      </c>
      <c r="F15" s="6">
        <v>178</v>
      </c>
      <c r="G15" s="87" t="s">
        <v>556</v>
      </c>
      <c r="H15" s="86" t="s">
        <v>557</v>
      </c>
      <c r="I15" s="84">
        <v>639</v>
      </c>
      <c r="J15" s="88">
        <f t="shared" si="0"/>
        <v>6.39</v>
      </c>
      <c r="K15" s="88">
        <v>678</v>
      </c>
      <c r="L15" s="87"/>
      <c r="M15" s="85">
        <f t="shared" si="1"/>
        <v>639000</v>
      </c>
    </row>
    <row r="16" spans="1:13" ht="19" x14ac:dyDescent="0.15">
      <c r="A16" s="52">
        <v>14</v>
      </c>
      <c r="B16" s="187">
        <v>22</v>
      </c>
      <c r="C16" s="184">
        <v>3</v>
      </c>
      <c r="D16" s="90" t="s">
        <v>558</v>
      </c>
      <c r="E16" s="79" t="s">
        <v>545</v>
      </c>
      <c r="F16" s="6">
        <v>178</v>
      </c>
      <c r="G16" s="87" t="s">
        <v>559</v>
      </c>
      <c r="H16" s="86" t="s">
        <v>560</v>
      </c>
      <c r="I16" s="84"/>
      <c r="J16" s="88">
        <f t="shared" si="0"/>
        <v>0</v>
      </c>
      <c r="K16" s="88">
        <v>67</v>
      </c>
      <c r="L16" s="87"/>
      <c r="M16" s="85">
        <f>K16*1000</f>
        <v>67000</v>
      </c>
    </row>
    <row r="17" spans="1:14" ht="19" x14ac:dyDescent="0.15">
      <c r="A17" s="52">
        <v>15</v>
      </c>
      <c r="B17" s="52">
        <v>23</v>
      </c>
      <c r="C17" s="52"/>
      <c r="D17" s="87" t="s">
        <v>561</v>
      </c>
      <c r="E17" s="79" t="s">
        <v>545</v>
      </c>
      <c r="F17" s="6">
        <v>178</v>
      </c>
      <c r="G17" s="87" t="s">
        <v>562</v>
      </c>
      <c r="H17" s="86" t="s">
        <v>563</v>
      </c>
      <c r="I17" s="84">
        <v>1045</v>
      </c>
      <c r="J17" s="88">
        <f t="shared" si="0"/>
        <v>10.45</v>
      </c>
      <c r="K17" s="88">
        <v>892</v>
      </c>
      <c r="L17" s="87"/>
      <c r="M17" s="85">
        <f t="shared" si="1"/>
        <v>1044999.9999999999</v>
      </c>
    </row>
    <row r="18" spans="1:14" ht="38" x14ac:dyDescent="0.15">
      <c r="A18" s="52">
        <v>16</v>
      </c>
      <c r="B18" s="52">
        <v>2</v>
      </c>
      <c r="C18" s="52"/>
      <c r="D18" s="79" t="s">
        <v>564</v>
      </c>
      <c r="E18" s="6" t="s">
        <v>538</v>
      </c>
      <c r="F18" s="6">
        <v>34</v>
      </c>
      <c r="G18" s="79" t="s">
        <v>565</v>
      </c>
      <c r="H18" s="86" t="s">
        <v>566</v>
      </c>
      <c r="I18" s="84">
        <v>42507</v>
      </c>
      <c r="J18" s="89">
        <f>I18/100</f>
        <v>425.07</v>
      </c>
      <c r="K18" s="89"/>
      <c r="L18" s="87"/>
      <c r="M18" s="85">
        <v>8000000</v>
      </c>
      <c r="N18" s="96"/>
    </row>
    <row r="19" spans="1:14" ht="19" x14ac:dyDescent="0.15">
      <c r="A19" s="52">
        <v>17</v>
      </c>
      <c r="B19" s="52">
        <v>1</v>
      </c>
      <c r="C19" s="52"/>
      <c r="D19" s="79" t="s">
        <v>567</v>
      </c>
      <c r="E19" s="6" t="s">
        <v>538</v>
      </c>
      <c r="F19" s="6">
        <v>30</v>
      </c>
      <c r="G19" s="79" t="s">
        <v>568</v>
      </c>
      <c r="H19" s="86" t="s">
        <v>569</v>
      </c>
      <c r="I19" s="84">
        <v>14394</v>
      </c>
      <c r="J19" s="89">
        <f>I19/100</f>
        <v>143.94</v>
      </c>
      <c r="K19" s="89"/>
      <c r="L19" s="87"/>
      <c r="M19" s="85">
        <v>7000000</v>
      </c>
      <c r="N19" s="96"/>
    </row>
    <row r="20" spans="1:14" s="57" customFormat="1" ht="33.5" customHeight="1" x14ac:dyDescent="0.2">
      <c r="A20" s="52"/>
      <c r="B20" s="52"/>
      <c r="C20" s="52"/>
      <c r="D20" s="52" t="s">
        <v>83</v>
      </c>
      <c r="E20" s="53"/>
      <c r="F20" s="53"/>
      <c r="G20" s="52"/>
      <c r="H20" s="54"/>
      <c r="I20" s="55">
        <f ca="1">SUM(I3:I29)</f>
        <v>24573</v>
      </c>
      <c r="J20" s="56">
        <f ca="1">SUM(J3:J29)</f>
        <v>245.73</v>
      </c>
      <c r="K20" s="56"/>
      <c r="L20" s="55">
        <f ca="1">SUM(L3:L29)</f>
        <v>117</v>
      </c>
      <c r="M20" s="95">
        <f>SUM(M3:M19)</f>
        <v>37980000</v>
      </c>
    </row>
    <row r="22" spans="1:14" x14ac:dyDescent="0.15">
      <c r="A22" s="40" t="s">
        <v>612</v>
      </c>
    </row>
    <row r="23" spans="1:14" ht="30" x14ac:dyDescent="0.15">
      <c r="A23" s="41" t="s">
        <v>501</v>
      </c>
      <c r="B23" s="41" t="s">
        <v>502</v>
      </c>
      <c r="C23" s="41"/>
      <c r="D23" s="41" t="s">
        <v>503</v>
      </c>
      <c r="E23" s="41" t="s">
        <v>504</v>
      </c>
      <c r="F23" s="41" t="s">
        <v>6</v>
      </c>
      <c r="G23" s="41" t="s">
        <v>4</v>
      </c>
      <c r="H23" s="41" t="s">
        <v>505</v>
      </c>
      <c r="I23" s="41" t="s">
        <v>7</v>
      </c>
      <c r="J23" s="41" t="s">
        <v>506</v>
      </c>
      <c r="K23" s="41"/>
      <c r="L23" s="41" t="s">
        <v>508</v>
      </c>
      <c r="M23" s="41" t="s">
        <v>570</v>
      </c>
    </row>
    <row r="24" spans="1:14" ht="51" x14ac:dyDescent="0.15">
      <c r="A24" s="42">
        <v>18</v>
      </c>
      <c r="B24" s="58">
        <v>21</v>
      </c>
      <c r="C24" s="58"/>
      <c r="D24" s="59" t="s">
        <v>571</v>
      </c>
      <c r="E24" s="60" t="s">
        <v>545</v>
      </c>
      <c r="F24" s="44">
        <v>178</v>
      </c>
      <c r="G24" s="61" t="s">
        <v>572</v>
      </c>
      <c r="H24" s="62" t="s">
        <v>573</v>
      </c>
      <c r="I24" s="63">
        <v>1013</v>
      </c>
      <c r="J24" s="64">
        <f>I24/100</f>
        <v>10.130000000000001</v>
      </c>
      <c r="K24" s="64"/>
      <c r="L24" s="61"/>
      <c r="M24" s="65"/>
      <c r="N24" s="96"/>
    </row>
    <row r="25" spans="1:14" ht="34" x14ac:dyDescent="0.15">
      <c r="A25" s="42">
        <v>19</v>
      </c>
      <c r="B25" s="58">
        <v>24</v>
      </c>
      <c r="C25" s="58"/>
      <c r="D25" s="66" t="s">
        <v>574</v>
      </c>
      <c r="E25" s="60" t="s">
        <v>545</v>
      </c>
      <c r="F25" s="44">
        <v>178</v>
      </c>
      <c r="G25" s="61" t="s">
        <v>575</v>
      </c>
      <c r="H25" s="62" t="s">
        <v>576</v>
      </c>
      <c r="I25" s="63">
        <v>19805</v>
      </c>
      <c r="J25" s="64">
        <f>I25/100</f>
        <v>198.05</v>
      </c>
      <c r="K25" s="64"/>
      <c r="L25" s="61"/>
      <c r="M25" s="65"/>
      <c r="N25" s="96"/>
    </row>
    <row r="26" spans="1:14" ht="16" x14ac:dyDescent="0.15">
      <c r="A26" s="42">
        <v>20</v>
      </c>
      <c r="B26" s="42">
        <v>135</v>
      </c>
      <c r="C26" s="42"/>
      <c r="D26" s="50" t="s">
        <v>577</v>
      </c>
      <c r="E26" s="44" t="s">
        <v>515</v>
      </c>
      <c r="F26" s="44">
        <v>5</v>
      </c>
      <c r="G26" s="43" t="s">
        <v>578</v>
      </c>
      <c r="H26" s="47" t="s">
        <v>579</v>
      </c>
      <c r="I26" s="45">
        <v>1011</v>
      </c>
      <c r="J26" s="51">
        <f t="shared" ref="J26:J27" si="2">I26/100</f>
        <v>10.11</v>
      </c>
      <c r="K26" s="51"/>
      <c r="L26" s="48"/>
      <c r="M26" s="46"/>
    </row>
    <row r="27" spans="1:14" ht="16" x14ac:dyDescent="0.15">
      <c r="A27" s="42">
        <v>21</v>
      </c>
      <c r="B27" s="42">
        <v>156</v>
      </c>
      <c r="C27" s="42"/>
      <c r="D27" s="50" t="s">
        <v>580</v>
      </c>
      <c r="E27" s="44" t="s">
        <v>538</v>
      </c>
      <c r="F27" s="44">
        <v>42</v>
      </c>
      <c r="G27" s="43" t="s">
        <v>581</v>
      </c>
      <c r="H27" s="47" t="s">
        <v>582</v>
      </c>
      <c r="I27" s="45">
        <v>5308</v>
      </c>
      <c r="J27" s="51">
        <f t="shared" si="2"/>
        <v>53.08</v>
      </c>
      <c r="K27" s="51"/>
      <c r="L27" s="48"/>
      <c r="M27" s="46"/>
      <c r="N27" s="96"/>
    </row>
    <row r="28" spans="1:14" ht="16" x14ac:dyDescent="0.15">
      <c r="A28" s="42"/>
      <c r="B28" s="42"/>
      <c r="C28" s="42"/>
      <c r="D28" s="50"/>
      <c r="E28" s="44"/>
      <c r="F28" s="44"/>
      <c r="G28" s="43"/>
      <c r="H28" s="47"/>
      <c r="I28" s="45"/>
      <c r="J28" s="51"/>
      <c r="K28" s="51"/>
      <c r="L28" s="48"/>
      <c r="M28" s="46"/>
    </row>
    <row r="29" spans="1:14" ht="16" hidden="1" x14ac:dyDescent="0.15">
      <c r="A29" s="42">
        <v>1</v>
      </c>
      <c r="B29" s="42">
        <v>28</v>
      </c>
      <c r="C29" s="42"/>
      <c r="D29" s="67" t="s">
        <v>583</v>
      </c>
      <c r="E29" s="44" t="s">
        <v>545</v>
      </c>
      <c r="F29" s="44"/>
      <c r="G29" s="48" t="s">
        <v>584</v>
      </c>
      <c r="H29" s="47" t="s">
        <v>585</v>
      </c>
      <c r="I29" s="45">
        <v>1660</v>
      </c>
      <c r="J29" s="49">
        <f>I29/100</f>
        <v>16.600000000000001</v>
      </c>
      <c r="K29" s="49">
        <v>52</v>
      </c>
      <c r="L29" s="48">
        <v>83</v>
      </c>
      <c r="M29" s="46"/>
    </row>
    <row r="30" spans="1:14" ht="16" hidden="1" x14ac:dyDescent="0.15">
      <c r="A30" s="42">
        <v>2</v>
      </c>
      <c r="B30" s="68">
        <v>7</v>
      </c>
      <c r="C30" s="68"/>
      <c r="D30" s="69" t="s">
        <v>586</v>
      </c>
      <c r="E30" s="70" t="s">
        <v>587</v>
      </c>
      <c r="F30" s="44" t="s">
        <v>588</v>
      </c>
      <c r="G30" s="71" t="s">
        <v>589</v>
      </c>
      <c r="H30" s="72" t="s">
        <v>590</v>
      </c>
      <c r="I30" s="73">
        <v>4144</v>
      </c>
      <c r="J30" s="74">
        <f>I30/100</f>
        <v>41.44</v>
      </c>
      <c r="K30" s="74">
        <v>1791</v>
      </c>
      <c r="L30" s="71"/>
      <c r="M30" s="65"/>
    </row>
    <row r="31" spans="1:14" ht="16" hidden="1" x14ac:dyDescent="0.15">
      <c r="A31" s="42">
        <v>3</v>
      </c>
      <c r="B31" s="75">
        <v>25</v>
      </c>
      <c r="C31" s="75"/>
      <c r="D31" s="69" t="s">
        <v>591</v>
      </c>
      <c r="E31" s="70" t="s">
        <v>545</v>
      </c>
      <c r="F31" s="44">
        <v>178</v>
      </c>
      <c r="G31" s="71" t="s">
        <v>592</v>
      </c>
      <c r="H31" s="72" t="s">
        <v>593</v>
      </c>
      <c r="I31" s="73">
        <v>15000</v>
      </c>
      <c r="J31" s="74">
        <f t="shared" ref="J31:J32" si="3">I31/100</f>
        <v>150</v>
      </c>
      <c r="K31" s="74"/>
      <c r="L31" s="71"/>
      <c r="M31" s="65"/>
    </row>
    <row r="32" spans="1:14" ht="16" hidden="1" x14ac:dyDescent="0.15">
      <c r="A32" s="42">
        <v>4</v>
      </c>
      <c r="B32" s="75">
        <v>27</v>
      </c>
      <c r="C32" s="75"/>
      <c r="D32" s="69" t="s">
        <v>594</v>
      </c>
      <c r="E32" s="44" t="s">
        <v>545</v>
      </c>
      <c r="F32" s="44"/>
      <c r="G32" s="71" t="s">
        <v>595</v>
      </c>
      <c r="H32" s="72" t="s">
        <v>596</v>
      </c>
      <c r="I32" s="73">
        <v>8000</v>
      </c>
      <c r="J32" s="74">
        <f t="shared" si="3"/>
        <v>80</v>
      </c>
      <c r="K32" s="74">
        <v>7628</v>
      </c>
      <c r="L32" s="71"/>
      <c r="M32" s="65"/>
    </row>
    <row r="33" spans="1:13" ht="16" hidden="1" x14ac:dyDescent="0.15">
      <c r="A33" s="42">
        <v>5</v>
      </c>
      <c r="B33" s="42">
        <v>29</v>
      </c>
      <c r="C33" s="42"/>
      <c r="D33" s="67" t="s">
        <v>597</v>
      </c>
      <c r="E33" s="44" t="s">
        <v>538</v>
      </c>
      <c r="F33" s="44">
        <v>251</v>
      </c>
      <c r="G33" s="48" t="s">
        <v>598</v>
      </c>
      <c r="H33" s="47" t="s">
        <v>599</v>
      </c>
      <c r="I33" s="45">
        <v>45200</v>
      </c>
      <c r="J33" s="49">
        <f>I33/100</f>
        <v>452</v>
      </c>
      <c r="K33" s="49"/>
      <c r="L33" s="48"/>
      <c r="M33" s="46"/>
    </row>
    <row r="34" spans="1:13" s="77" customFormat="1" ht="18" x14ac:dyDescent="0.2">
      <c r="A34" s="52">
        <v>23</v>
      </c>
      <c r="B34" s="52"/>
      <c r="C34" s="52"/>
      <c r="D34" s="52" t="s">
        <v>83</v>
      </c>
      <c r="E34" s="44"/>
      <c r="F34" s="44"/>
      <c r="G34" s="52"/>
      <c r="H34" s="54"/>
      <c r="I34" s="55">
        <f ca="1">SUM(I19:I27)</f>
        <v>41531</v>
      </c>
      <c r="J34" s="55">
        <f ca="1">SUM(J19:J27)</f>
        <v>415.31</v>
      </c>
      <c r="K34" s="55"/>
      <c r="L34" s="55">
        <f ca="1">SUM(L19:L27)</f>
        <v>0</v>
      </c>
      <c r="M34" s="76"/>
    </row>
  </sheetData>
  <mergeCells count="1">
    <mergeCell ref="A1:M1"/>
  </mergeCells>
  <pageMargins left="0.7" right="0.7" top="0.75" bottom="0.75" header="0.3" footer="0.3"/>
  <pageSetup paperSize="9" scale="44" orientation="landscape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D6B9-8691-3048-9E8D-EE88471C4A91}">
  <sheetPr>
    <pageSetUpPr fitToPage="1"/>
  </sheetPr>
  <dimension ref="A1:Q198"/>
  <sheetViews>
    <sheetView topLeftCell="A137" zoomScale="120" zoomScaleNormal="120" workbookViewId="0">
      <selection activeCell="H164" sqref="H164"/>
    </sheetView>
  </sheetViews>
  <sheetFormatPr baseColWidth="10" defaultColWidth="11" defaultRowHeight="16" x14ac:dyDescent="0.2"/>
  <cols>
    <col min="1" max="1" width="5" style="1" bestFit="1" customWidth="1"/>
    <col min="2" max="2" width="4.83203125" style="33" hidden="1" customWidth="1"/>
    <col min="3" max="3" width="4.83203125" style="172" customWidth="1"/>
    <col min="4" max="4" width="58.1640625" style="1" bestFit="1" customWidth="1"/>
    <col min="5" max="5" width="24.1640625" style="1" hidden="1" customWidth="1"/>
    <col min="6" max="6" width="16.5" style="1" customWidth="1"/>
    <col min="7" max="7" width="9" style="1" customWidth="1"/>
    <col min="8" max="8" width="16.1640625" style="38" customWidth="1"/>
    <col min="9" max="9" width="14.5" style="38" customWidth="1"/>
    <col min="10" max="10" width="14.83203125" style="38" customWidth="1"/>
    <col min="11" max="11" width="13" style="38" customWidth="1"/>
    <col min="12" max="12" width="10.1640625" style="38" customWidth="1"/>
    <col min="13" max="13" width="71.1640625" style="39" hidden="1" customWidth="1"/>
    <col min="14" max="14" width="13.6640625" style="1" bestFit="1" customWidth="1"/>
    <col min="15" max="15" width="14.6640625" style="1" bestFit="1" customWidth="1"/>
    <col min="16" max="16" width="12.33203125" style="1" bestFit="1" customWidth="1"/>
    <col min="17" max="17" width="13.6640625" style="1" bestFit="1" customWidth="1"/>
    <col min="18" max="16384" width="11" style="1"/>
  </cols>
  <sheetData>
    <row r="1" spans="1:17" ht="47" customHeight="1" x14ac:dyDescent="0.2">
      <c r="A1" s="164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</row>
    <row r="2" spans="1:17" s="5" customFormat="1" ht="85.25" customHeight="1" x14ac:dyDescent="0.2">
      <c r="A2" s="2" t="s">
        <v>1</v>
      </c>
      <c r="B2" s="3" t="s">
        <v>2</v>
      </c>
      <c r="C2" s="176"/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600</v>
      </c>
      <c r="O2" s="4" t="s">
        <v>13</v>
      </c>
      <c r="P2" s="4"/>
      <c r="Q2" s="4"/>
    </row>
    <row r="3" spans="1:17" s="5" customFormat="1" ht="18" x14ac:dyDescent="0.2">
      <c r="A3" s="2"/>
      <c r="B3" s="190"/>
      <c r="C3" s="188"/>
      <c r="D3" s="189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s="5" customFormat="1" ht="20" customHeight="1" x14ac:dyDescent="0.2">
      <c r="A4" s="3">
        <v>1</v>
      </c>
      <c r="B4" s="174">
        <v>1</v>
      </c>
      <c r="C4" s="168">
        <v>1</v>
      </c>
      <c r="D4" s="175" t="s">
        <v>14</v>
      </c>
      <c r="E4" s="6" t="s">
        <v>15</v>
      </c>
      <c r="F4" s="7" t="s">
        <v>16</v>
      </c>
      <c r="G4" s="6">
        <v>257</v>
      </c>
      <c r="H4" s="8">
        <v>2500</v>
      </c>
      <c r="I4" s="8">
        <v>2500</v>
      </c>
      <c r="J4" s="9">
        <f>I4-H4</f>
        <v>0</v>
      </c>
      <c r="K4" s="10">
        <v>135</v>
      </c>
      <c r="L4" s="10">
        <v>31.84</v>
      </c>
      <c r="M4" s="7" t="s">
        <v>17</v>
      </c>
      <c r="N4" s="129">
        <f>I4*P4/100</f>
        <v>1750000</v>
      </c>
      <c r="O4" s="129">
        <f>K4*300</f>
        <v>40500</v>
      </c>
      <c r="P4" s="129">
        <v>70000</v>
      </c>
      <c r="Q4" s="129">
        <f>N4+O4</f>
        <v>1790500</v>
      </c>
    </row>
    <row r="5" spans="1:17" s="5" customFormat="1" ht="20" customHeight="1" x14ac:dyDescent="0.2">
      <c r="A5" s="3">
        <v>2</v>
      </c>
      <c r="B5" s="174">
        <v>2</v>
      </c>
      <c r="C5" s="168">
        <v>1</v>
      </c>
      <c r="D5" s="175" t="s">
        <v>18</v>
      </c>
      <c r="E5" s="6" t="s">
        <v>19</v>
      </c>
      <c r="F5" s="7" t="s">
        <v>20</v>
      </c>
      <c r="G5" s="6">
        <v>259</v>
      </c>
      <c r="H5" s="11">
        <v>2400</v>
      </c>
      <c r="I5" s="10">
        <v>3200</v>
      </c>
      <c r="J5" s="9">
        <f>I5-H5</f>
        <v>800</v>
      </c>
      <c r="K5" s="10">
        <v>675</v>
      </c>
      <c r="L5" s="10">
        <v>115.49</v>
      </c>
      <c r="M5" s="7" t="s">
        <v>21</v>
      </c>
      <c r="N5" s="129">
        <f>I5*P5/100</f>
        <v>2240000</v>
      </c>
      <c r="O5" s="129">
        <f>K5*300</f>
        <v>202500</v>
      </c>
      <c r="P5" s="129">
        <v>70000</v>
      </c>
      <c r="Q5" s="129">
        <f>N5+O5</f>
        <v>2442500</v>
      </c>
    </row>
    <row r="6" spans="1:17" s="5" customFormat="1" ht="20" customHeight="1" x14ac:dyDescent="0.2">
      <c r="A6" s="3">
        <v>3</v>
      </c>
      <c r="B6" s="174">
        <v>4</v>
      </c>
      <c r="C6" s="168">
        <v>1</v>
      </c>
      <c r="D6" s="175" t="s">
        <v>24</v>
      </c>
      <c r="E6" s="6" t="s">
        <v>25</v>
      </c>
      <c r="F6" s="7" t="s">
        <v>16</v>
      </c>
      <c r="G6" s="6">
        <v>261</v>
      </c>
      <c r="H6" s="11">
        <v>1390</v>
      </c>
      <c r="I6" s="10">
        <v>1390</v>
      </c>
      <c r="J6" s="9">
        <f>I6-H6</f>
        <v>0</v>
      </c>
      <c r="K6" s="10">
        <v>588</v>
      </c>
      <c r="L6" s="10">
        <v>231.64</v>
      </c>
      <c r="M6" s="7" t="s">
        <v>26</v>
      </c>
      <c r="N6" s="129">
        <f>I6*P6/100</f>
        <v>973000</v>
      </c>
      <c r="O6" s="129">
        <f>K6*300</f>
        <v>176400</v>
      </c>
      <c r="P6" s="129">
        <v>70000</v>
      </c>
      <c r="Q6" s="129">
        <f>N6+O6</f>
        <v>1149400</v>
      </c>
    </row>
    <row r="7" spans="1:17" s="5" customFormat="1" ht="20" customHeight="1" x14ac:dyDescent="0.2">
      <c r="A7" s="3">
        <v>4</v>
      </c>
      <c r="B7" s="174">
        <v>5</v>
      </c>
      <c r="C7" s="168">
        <v>1</v>
      </c>
      <c r="D7" s="175" t="s">
        <v>27</v>
      </c>
      <c r="E7" s="6" t="s">
        <v>28</v>
      </c>
      <c r="F7" s="7" t="s">
        <v>16</v>
      </c>
      <c r="G7" s="6">
        <v>263</v>
      </c>
      <c r="H7" s="11">
        <v>4900</v>
      </c>
      <c r="I7" s="10">
        <v>5098</v>
      </c>
      <c r="J7" s="9">
        <f>I7-H7</f>
        <v>198</v>
      </c>
      <c r="K7" s="10">
        <v>311</v>
      </c>
      <c r="L7" s="10">
        <v>257.26</v>
      </c>
      <c r="M7" s="7" t="s">
        <v>29</v>
      </c>
      <c r="N7" s="129">
        <f>I7*P7/100</f>
        <v>2549000</v>
      </c>
      <c r="O7" s="129">
        <f>K7*300</f>
        <v>93300</v>
      </c>
      <c r="P7" s="129">
        <v>50000</v>
      </c>
      <c r="Q7" s="129">
        <f>N7+O7</f>
        <v>2642300</v>
      </c>
    </row>
    <row r="8" spans="1:17" s="5" customFormat="1" ht="20" customHeight="1" x14ac:dyDescent="0.2">
      <c r="A8" s="3"/>
      <c r="B8" s="190"/>
      <c r="C8" s="167"/>
      <c r="D8" s="189"/>
      <c r="E8" s="3"/>
      <c r="F8" s="4"/>
      <c r="G8" s="3"/>
      <c r="H8" s="203">
        <f>SUM(H4:H7)</f>
        <v>11190</v>
      </c>
      <c r="I8" s="203">
        <f t="shared" ref="I8:Q8" si="0">SUM(I4:I7)</f>
        <v>12188</v>
      </c>
      <c r="J8" s="203">
        <f t="shared" si="0"/>
        <v>998</v>
      </c>
      <c r="K8" s="203">
        <f t="shared" si="0"/>
        <v>1709</v>
      </c>
      <c r="L8" s="203">
        <f t="shared" si="0"/>
        <v>636.23</v>
      </c>
      <c r="M8" s="203">
        <f t="shared" si="0"/>
        <v>0</v>
      </c>
      <c r="N8" s="203">
        <f t="shared" si="0"/>
        <v>7512000</v>
      </c>
      <c r="O8" s="203">
        <f t="shared" si="0"/>
        <v>512700</v>
      </c>
      <c r="P8" s="203">
        <f t="shared" si="0"/>
        <v>260000</v>
      </c>
      <c r="Q8" s="203">
        <f t="shared" si="0"/>
        <v>8024700</v>
      </c>
    </row>
    <row r="9" spans="1:17" s="5" customFormat="1" ht="20" customHeight="1" x14ac:dyDescent="0.2">
      <c r="A9" s="3">
        <v>5</v>
      </c>
      <c r="B9" s="174">
        <v>8</v>
      </c>
      <c r="C9" s="168">
        <v>2</v>
      </c>
      <c r="D9" s="175" t="s">
        <v>31</v>
      </c>
      <c r="E9" s="6" t="s">
        <v>32</v>
      </c>
      <c r="F9" s="7" t="s">
        <v>16</v>
      </c>
      <c r="G9" s="6">
        <v>275</v>
      </c>
      <c r="H9" s="11">
        <v>636</v>
      </c>
      <c r="I9" s="11">
        <v>636</v>
      </c>
      <c r="J9" s="9">
        <f>I9-H9</f>
        <v>0</v>
      </c>
      <c r="K9" s="10">
        <v>413</v>
      </c>
      <c r="L9" s="10">
        <v>105.19</v>
      </c>
      <c r="M9" s="7" t="s">
        <v>33</v>
      </c>
      <c r="N9" s="129">
        <f>I9*P9/100</f>
        <v>318000</v>
      </c>
      <c r="O9" s="129">
        <f>K9*300</f>
        <v>123900</v>
      </c>
      <c r="P9" s="129">
        <v>50000</v>
      </c>
      <c r="Q9" s="129">
        <f>N9+O9</f>
        <v>441900</v>
      </c>
    </row>
    <row r="10" spans="1:17" s="5" customFormat="1" ht="20" customHeight="1" x14ac:dyDescent="0.2">
      <c r="A10" s="3">
        <v>6</v>
      </c>
      <c r="B10" s="174">
        <v>9</v>
      </c>
      <c r="C10" s="168">
        <v>2</v>
      </c>
      <c r="D10" s="175" t="s">
        <v>34</v>
      </c>
      <c r="E10" s="6" t="s">
        <v>35</v>
      </c>
      <c r="F10" s="7" t="s">
        <v>16</v>
      </c>
      <c r="G10" s="6" t="s">
        <v>36</v>
      </c>
      <c r="H10" s="11">
        <v>398</v>
      </c>
      <c r="I10" s="11">
        <v>398</v>
      </c>
      <c r="J10" s="9">
        <f>I10-H10</f>
        <v>0</v>
      </c>
      <c r="K10" s="10">
        <v>134</v>
      </c>
      <c r="L10" s="10">
        <v>66.010000000000005</v>
      </c>
      <c r="M10" s="7" t="s">
        <v>37</v>
      </c>
      <c r="N10" s="129">
        <f>I10*P10/100</f>
        <v>199000</v>
      </c>
      <c r="O10" s="129">
        <f>K10*300</f>
        <v>40200</v>
      </c>
      <c r="P10" s="129">
        <v>50000</v>
      </c>
      <c r="Q10" s="129">
        <f>N10+O10</f>
        <v>239200</v>
      </c>
    </row>
    <row r="11" spans="1:17" s="5" customFormat="1" ht="20" customHeight="1" x14ac:dyDescent="0.2">
      <c r="A11" s="3">
        <v>7</v>
      </c>
      <c r="B11" s="174">
        <v>10</v>
      </c>
      <c r="C11" s="168">
        <v>2</v>
      </c>
      <c r="D11" s="175" t="s">
        <v>38</v>
      </c>
      <c r="E11" s="6" t="s">
        <v>39</v>
      </c>
      <c r="F11" s="7" t="s">
        <v>16</v>
      </c>
      <c r="G11" s="6" t="s">
        <v>40</v>
      </c>
      <c r="H11" s="11">
        <v>300</v>
      </c>
      <c r="I11" s="11">
        <v>300</v>
      </c>
      <c r="J11" s="9">
        <f>I11-H11</f>
        <v>0</v>
      </c>
      <c r="K11" s="10">
        <v>117</v>
      </c>
      <c r="L11" s="10">
        <v>52.72</v>
      </c>
      <c r="M11" s="7" t="s">
        <v>41</v>
      </c>
      <c r="N11" s="129">
        <f>I11*P11/100</f>
        <v>150000</v>
      </c>
      <c r="O11" s="129">
        <f>K11*300</f>
        <v>35100</v>
      </c>
      <c r="P11" s="129">
        <v>50000</v>
      </c>
      <c r="Q11" s="129">
        <f>N11+O11</f>
        <v>185100</v>
      </c>
    </row>
    <row r="12" spans="1:17" s="5" customFormat="1" ht="20" customHeight="1" x14ac:dyDescent="0.2">
      <c r="A12" s="3">
        <v>8</v>
      </c>
      <c r="B12" s="174">
        <v>11</v>
      </c>
      <c r="C12" s="168">
        <v>2</v>
      </c>
      <c r="D12" s="175" t="s">
        <v>42</v>
      </c>
      <c r="E12" s="6" t="s">
        <v>43</v>
      </c>
      <c r="F12" s="7" t="s">
        <v>16</v>
      </c>
      <c r="G12" s="6" t="s">
        <v>44</v>
      </c>
      <c r="H12" s="11">
        <v>391</v>
      </c>
      <c r="I12" s="11">
        <v>391</v>
      </c>
      <c r="J12" s="9">
        <f>I12-H12</f>
        <v>0</v>
      </c>
      <c r="K12" s="10">
        <v>233</v>
      </c>
      <c r="L12" s="10">
        <v>89.46</v>
      </c>
      <c r="M12" s="7" t="s">
        <v>45</v>
      </c>
      <c r="N12" s="129">
        <f>I12*P12/100</f>
        <v>195500</v>
      </c>
      <c r="O12" s="129">
        <f>K12*300</f>
        <v>69900</v>
      </c>
      <c r="P12" s="129">
        <v>50000</v>
      </c>
      <c r="Q12" s="129">
        <f>N12+O12</f>
        <v>265400</v>
      </c>
    </row>
    <row r="13" spans="1:17" s="5" customFormat="1" ht="20" customHeight="1" x14ac:dyDescent="0.2">
      <c r="A13" s="3">
        <v>9</v>
      </c>
      <c r="B13" s="174">
        <v>12</v>
      </c>
      <c r="C13" s="168">
        <v>2</v>
      </c>
      <c r="D13" s="175" t="s">
        <v>46</v>
      </c>
      <c r="E13" s="6" t="s">
        <v>47</v>
      </c>
      <c r="F13" s="7" t="s">
        <v>16</v>
      </c>
      <c r="G13" s="6" t="s">
        <v>48</v>
      </c>
      <c r="H13" s="11">
        <v>845</v>
      </c>
      <c r="I13" s="11">
        <v>845</v>
      </c>
      <c r="J13" s="9">
        <f>I13-H13</f>
        <v>0</v>
      </c>
      <c r="K13" s="10">
        <v>276</v>
      </c>
      <c r="L13" s="10">
        <v>80.59</v>
      </c>
      <c r="M13" s="7" t="s">
        <v>41</v>
      </c>
      <c r="N13" s="129">
        <f>I13*P13/100</f>
        <v>422500</v>
      </c>
      <c r="O13" s="129">
        <f>K13*300</f>
        <v>82800</v>
      </c>
      <c r="P13" s="129">
        <v>50000</v>
      </c>
      <c r="Q13" s="129">
        <f>N13+O13</f>
        <v>505300</v>
      </c>
    </row>
    <row r="14" spans="1:17" s="5" customFormat="1" ht="20" customHeight="1" x14ac:dyDescent="0.2">
      <c r="A14" s="3">
        <v>10</v>
      </c>
      <c r="B14" s="174">
        <v>13</v>
      </c>
      <c r="C14" s="168">
        <v>2</v>
      </c>
      <c r="D14" s="175" t="s">
        <v>49</v>
      </c>
      <c r="E14" s="6" t="s">
        <v>50</v>
      </c>
      <c r="F14" s="7" t="s">
        <v>16</v>
      </c>
      <c r="G14" s="6" t="s">
        <v>51</v>
      </c>
      <c r="H14" s="11">
        <v>600</v>
      </c>
      <c r="I14" s="10">
        <v>659</v>
      </c>
      <c r="J14" s="9">
        <f>I14-H14</f>
        <v>59</v>
      </c>
      <c r="K14" s="10">
        <v>22</v>
      </c>
      <c r="L14" s="10">
        <v>16.239999999999998</v>
      </c>
      <c r="M14" s="7" t="s">
        <v>52</v>
      </c>
      <c r="N14" s="129">
        <f>I14*P14/100</f>
        <v>329500</v>
      </c>
      <c r="O14" s="129">
        <f>K14*300</f>
        <v>6600</v>
      </c>
      <c r="P14" s="129">
        <v>50000</v>
      </c>
      <c r="Q14" s="129">
        <f>N14+O14</f>
        <v>336100</v>
      </c>
    </row>
    <row r="15" spans="1:17" s="5" customFormat="1" ht="20" customHeight="1" x14ac:dyDescent="0.2">
      <c r="A15" s="3">
        <v>11</v>
      </c>
      <c r="B15" s="174">
        <v>14</v>
      </c>
      <c r="C15" s="168">
        <v>2</v>
      </c>
      <c r="D15" s="175" t="s">
        <v>53</v>
      </c>
      <c r="E15" s="6" t="s">
        <v>54</v>
      </c>
      <c r="F15" s="7" t="s">
        <v>16</v>
      </c>
      <c r="G15" s="6">
        <v>277</v>
      </c>
      <c r="H15" s="11">
        <v>754</v>
      </c>
      <c r="I15" s="10">
        <v>779</v>
      </c>
      <c r="J15" s="9">
        <f>I15-H15</f>
        <v>25</v>
      </c>
      <c r="K15" s="10">
        <v>470</v>
      </c>
      <c r="L15" s="10">
        <v>217.57</v>
      </c>
      <c r="M15" s="7" t="s">
        <v>55</v>
      </c>
      <c r="N15" s="129">
        <f>I15*P15/100</f>
        <v>623200</v>
      </c>
      <c r="O15" s="129">
        <f>K15*300</f>
        <v>141000</v>
      </c>
      <c r="P15" s="129">
        <v>80000</v>
      </c>
      <c r="Q15" s="129">
        <f>N15+O15</f>
        <v>764200</v>
      </c>
    </row>
    <row r="16" spans="1:17" s="5" customFormat="1" ht="20" customHeight="1" x14ac:dyDescent="0.2">
      <c r="A16" s="3">
        <v>12</v>
      </c>
      <c r="B16" s="174">
        <v>15</v>
      </c>
      <c r="C16" s="168">
        <v>2</v>
      </c>
      <c r="D16" s="175" t="s">
        <v>56</v>
      </c>
      <c r="E16" s="6" t="s">
        <v>57</v>
      </c>
      <c r="F16" s="7" t="s">
        <v>16</v>
      </c>
      <c r="G16" s="6" t="s">
        <v>58</v>
      </c>
      <c r="H16" s="11">
        <v>535</v>
      </c>
      <c r="I16" s="11">
        <v>535</v>
      </c>
      <c r="J16" s="9">
        <f>I16-H16</f>
        <v>0</v>
      </c>
      <c r="K16" s="10">
        <v>222</v>
      </c>
      <c r="L16" s="10">
        <v>85.84</v>
      </c>
      <c r="M16" s="7" t="s">
        <v>59</v>
      </c>
      <c r="N16" s="129">
        <f>I16*P16/100</f>
        <v>428000</v>
      </c>
      <c r="O16" s="129">
        <f>K16*300</f>
        <v>66600</v>
      </c>
      <c r="P16" s="129">
        <v>80000</v>
      </c>
      <c r="Q16" s="129">
        <f>N16+O16</f>
        <v>494600</v>
      </c>
    </row>
    <row r="17" spans="1:17" s="5" customFormat="1" ht="20" customHeight="1" x14ac:dyDescent="0.2">
      <c r="A17" s="3">
        <v>13</v>
      </c>
      <c r="B17" s="174">
        <v>16</v>
      </c>
      <c r="C17" s="168">
        <v>2</v>
      </c>
      <c r="D17" s="175" t="s">
        <v>60</v>
      </c>
      <c r="E17" s="6" t="s">
        <v>61</v>
      </c>
      <c r="F17" s="7" t="s">
        <v>16</v>
      </c>
      <c r="G17" s="6">
        <v>281</v>
      </c>
      <c r="H17" s="11">
        <v>1093</v>
      </c>
      <c r="I17" s="11">
        <v>1093</v>
      </c>
      <c r="J17" s="9">
        <f>I17-H17</f>
        <v>0</v>
      </c>
      <c r="K17" s="10">
        <v>460</v>
      </c>
      <c r="L17" s="10">
        <v>182.68</v>
      </c>
      <c r="M17" s="7" t="s">
        <v>62</v>
      </c>
      <c r="N17" s="129">
        <f>I17*P17/100</f>
        <v>546500</v>
      </c>
      <c r="O17" s="129">
        <f>K17*300</f>
        <v>138000</v>
      </c>
      <c r="P17" s="129">
        <v>50000</v>
      </c>
      <c r="Q17" s="129">
        <f>N17+O17</f>
        <v>684500</v>
      </c>
    </row>
    <row r="18" spans="1:17" s="5" customFormat="1" ht="20" customHeight="1" x14ac:dyDescent="0.2">
      <c r="A18" s="3">
        <v>14</v>
      </c>
      <c r="B18" s="174">
        <v>17</v>
      </c>
      <c r="C18" s="168">
        <v>2</v>
      </c>
      <c r="D18" s="175" t="s">
        <v>63</v>
      </c>
      <c r="E18" s="6" t="s">
        <v>64</v>
      </c>
      <c r="F18" s="7" t="s">
        <v>16</v>
      </c>
      <c r="G18" s="6">
        <v>279</v>
      </c>
      <c r="H18" s="11">
        <v>1265</v>
      </c>
      <c r="I18" s="10">
        <v>2509</v>
      </c>
      <c r="J18" s="9">
        <f>I18-H18</f>
        <v>1244</v>
      </c>
      <c r="K18" s="10">
        <v>653</v>
      </c>
      <c r="L18" s="10">
        <v>68.489999999999995</v>
      </c>
      <c r="M18" s="7" t="s">
        <v>65</v>
      </c>
      <c r="N18" s="129">
        <f>I18*P18/100</f>
        <v>1630850</v>
      </c>
      <c r="O18" s="129">
        <f>K18*300</f>
        <v>195900</v>
      </c>
      <c r="P18" s="129">
        <v>65000</v>
      </c>
      <c r="Q18" s="129">
        <f>N18+O18</f>
        <v>1826750</v>
      </c>
    </row>
    <row r="19" spans="1:17" s="5" customFormat="1" ht="20" customHeight="1" x14ac:dyDescent="0.2">
      <c r="A19" s="3">
        <v>15</v>
      </c>
      <c r="B19" s="174">
        <v>18</v>
      </c>
      <c r="C19" s="168">
        <v>2</v>
      </c>
      <c r="D19" s="175" t="s">
        <v>66</v>
      </c>
      <c r="E19" s="6" t="s">
        <v>67</v>
      </c>
      <c r="F19" s="7" t="s">
        <v>16</v>
      </c>
      <c r="G19" s="6" t="s">
        <v>68</v>
      </c>
      <c r="H19" s="11">
        <v>600</v>
      </c>
      <c r="I19" s="11">
        <v>600</v>
      </c>
      <c r="J19" s="9">
        <f>I19-H19</f>
        <v>0</v>
      </c>
      <c r="K19" s="10">
        <v>167</v>
      </c>
      <c r="L19" s="10">
        <v>30.53</v>
      </c>
      <c r="M19" s="7" t="s">
        <v>69</v>
      </c>
      <c r="N19" s="129">
        <f>I19*P19/100</f>
        <v>480000</v>
      </c>
      <c r="O19" s="129">
        <f>K19*300</f>
        <v>50100</v>
      </c>
      <c r="P19" s="129">
        <v>80000</v>
      </c>
      <c r="Q19" s="129">
        <f>N19+O19</f>
        <v>530100</v>
      </c>
    </row>
    <row r="20" spans="1:17" s="5" customFormat="1" ht="20" customHeight="1" x14ac:dyDescent="0.2">
      <c r="A20" s="3">
        <v>16</v>
      </c>
      <c r="B20" s="174">
        <v>19</v>
      </c>
      <c r="C20" s="168">
        <v>2</v>
      </c>
      <c r="D20" s="175" t="s">
        <v>70</v>
      </c>
      <c r="E20" s="6" t="s">
        <v>71</v>
      </c>
      <c r="F20" s="7" t="s">
        <v>16</v>
      </c>
      <c r="G20" s="6">
        <v>283</v>
      </c>
      <c r="H20" s="11">
        <v>2114</v>
      </c>
      <c r="I20" s="11">
        <v>2114</v>
      </c>
      <c r="J20" s="9">
        <f>I20-H20</f>
        <v>0</v>
      </c>
      <c r="K20" s="10">
        <v>556</v>
      </c>
      <c r="L20" s="10">
        <v>233.3</v>
      </c>
      <c r="M20" s="7" t="s">
        <v>72</v>
      </c>
      <c r="N20" s="129">
        <f>I20*P20/100</f>
        <v>1057000</v>
      </c>
      <c r="O20" s="129">
        <f>K20*300</f>
        <v>166800</v>
      </c>
      <c r="P20" s="129">
        <v>50000</v>
      </c>
      <c r="Q20" s="129">
        <f>N20+O20</f>
        <v>1223800</v>
      </c>
    </row>
    <row r="21" spans="1:17" s="5" customFormat="1" ht="20" customHeight="1" x14ac:dyDescent="0.2">
      <c r="A21" s="3">
        <v>17</v>
      </c>
      <c r="B21" s="174">
        <v>26</v>
      </c>
      <c r="C21" s="168">
        <v>2</v>
      </c>
      <c r="D21" s="175" t="s">
        <v>73</v>
      </c>
      <c r="E21" s="6" t="s">
        <v>74</v>
      </c>
      <c r="F21" s="7" t="s">
        <v>75</v>
      </c>
      <c r="G21" s="6">
        <v>244</v>
      </c>
      <c r="H21" s="11">
        <v>1010</v>
      </c>
      <c r="I21" s="11">
        <v>1010</v>
      </c>
      <c r="J21" s="9">
        <f>I21-H21</f>
        <v>0</v>
      </c>
      <c r="K21" s="10">
        <v>228</v>
      </c>
      <c r="L21" s="10">
        <v>76.5</v>
      </c>
      <c r="M21" s="7" t="s">
        <v>76</v>
      </c>
      <c r="N21" s="129">
        <f>I21*P21/100</f>
        <v>505000</v>
      </c>
      <c r="O21" s="129">
        <f>K21*300</f>
        <v>68400</v>
      </c>
      <c r="P21" s="129">
        <v>50000</v>
      </c>
      <c r="Q21" s="129">
        <f>N21+O21</f>
        <v>573400</v>
      </c>
    </row>
    <row r="22" spans="1:17" s="5" customFormat="1" ht="20" customHeight="1" x14ac:dyDescent="0.2">
      <c r="A22" s="3"/>
      <c r="B22" s="190"/>
      <c r="C22" s="167"/>
      <c r="D22" s="189"/>
      <c r="E22" s="3"/>
      <c r="F22" s="4"/>
      <c r="G22" s="3"/>
      <c r="H22" s="203">
        <f>SUM(H9:H21)</f>
        <v>10541</v>
      </c>
      <c r="I22" s="203">
        <f t="shared" ref="I22:Q22" si="1">SUM(I9:I21)</f>
        <v>11869</v>
      </c>
      <c r="J22" s="203">
        <f t="shared" si="1"/>
        <v>1328</v>
      </c>
      <c r="K22" s="203">
        <f t="shared" si="1"/>
        <v>3951</v>
      </c>
      <c r="L22" s="203">
        <f t="shared" si="1"/>
        <v>1305.1199999999999</v>
      </c>
      <c r="M22" s="203">
        <f t="shared" si="1"/>
        <v>0</v>
      </c>
      <c r="N22" s="203">
        <f t="shared" si="1"/>
        <v>6885050</v>
      </c>
      <c r="O22" s="203">
        <f t="shared" si="1"/>
        <v>1185300</v>
      </c>
      <c r="P22" s="203">
        <f t="shared" si="1"/>
        <v>755000</v>
      </c>
      <c r="Q22" s="203">
        <f t="shared" si="1"/>
        <v>8070350</v>
      </c>
    </row>
    <row r="23" spans="1:17" s="5" customFormat="1" ht="20" customHeight="1" x14ac:dyDescent="0.2">
      <c r="A23" s="3">
        <v>18</v>
      </c>
      <c r="B23" s="174"/>
      <c r="C23" s="168">
        <v>3</v>
      </c>
      <c r="D23" s="175" t="s">
        <v>77</v>
      </c>
      <c r="E23" s="6" t="s">
        <v>78</v>
      </c>
      <c r="F23" s="7" t="s">
        <v>79</v>
      </c>
      <c r="G23" s="6">
        <v>180</v>
      </c>
      <c r="H23" s="11">
        <v>1020</v>
      </c>
      <c r="I23" s="11">
        <v>1020</v>
      </c>
      <c r="J23" s="9"/>
      <c r="K23" s="10">
        <v>390</v>
      </c>
      <c r="L23" s="10"/>
      <c r="M23" s="7"/>
      <c r="N23" s="129">
        <f>I23*P23/100</f>
        <v>510000</v>
      </c>
      <c r="O23" s="129">
        <f>K23*300</f>
        <v>117000</v>
      </c>
      <c r="P23" s="129">
        <v>50000</v>
      </c>
      <c r="Q23" s="129">
        <f>N23+O23</f>
        <v>627000</v>
      </c>
    </row>
    <row r="24" spans="1:17" s="5" customFormat="1" ht="20" customHeight="1" x14ac:dyDescent="0.2">
      <c r="A24" s="3">
        <v>19</v>
      </c>
      <c r="B24" s="174"/>
      <c r="C24" s="168">
        <v>3</v>
      </c>
      <c r="D24" s="175" t="s">
        <v>80</v>
      </c>
      <c r="E24" s="6" t="s">
        <v>81</v>
      </c>
      <c r="F24" s="7" t="s">
        <v>79</v>
      </c>
      <c r="G24" s="6" t="s">
        <v>82</v>
      </c>
      <c r="H24" s="11"/>
      <c r="I24" s="11"/>
      <c r="J24" s="9"/>
      <c r="K24" s="10">
        <v>236</v>
      </c>
      <c r="L24" s="10"/>
      <c r="M24" s="7"/>
      <c r="N24" s="129">
        <f>I24*P24/100</f>
        <v>0</v>
      </c>
      <c r="O24" s="129">
        <f>K24*300</f>
        <v>70800</v>
      </c>
      <c r="P24" s="129">
        <v>50000</v>
      </c>
      <c r="Q24" s="129">
        <f>N24+O24</f>
        <v>70800</v>
      </c>
    </row>
    <row r="25" spans="1:17" s="5" customFormat="1" ht="20" customHeight="1" x14ac:dyDescent="0.2">
      <c r="A25" s="3"/>
      <c r="B25" s="190"/>
      <c r="C25" s="202"/>
      <c r="D25" s="189"/>
      <c r="E25" s="3"/>
      <c r="F25" s="4"/>
      <c r="G25" s="3"/>
      <c r="H25" s="203">
        <f>SUM(H23:H24)</f>
        <v>1020</v>
      </c>
      <c r="I25" s="203">
        <f t="shared" ref="I25:Q25" si="2">SUM(I23:I24)</f>
        <v>1020</v>
      </c>
      <c r="J25" s="203">
        <f t="shared" si="2"/>
        <v>0</v>
      </c>
      <c r="K25" s="203">
        <f t="shared" si="2"/>
        <v>626</v>
      </c>
      <c r="L25" s="203">
        <f t="shared" si="2"/>
        <v>0</v>
      </c>
      <c r="M25" s="203">
        <f t="shared" si="2"/>
        <v>0</v>
      </c>
      <c r="N25" s="203">
        <f t="shared" si="2"/>
        <v>510000</v>
      </c>
      <c r="O25" s="203">
        <f t="shared" si="2"/>
        <v>187800</v>
      </c>
      <c r="P25" s="203">
        <f t="shared" si="2"/>
        <v>100000</v>
      </c>
      <c r="Q25" s="203">
        <f t="shared" si="2"/>
        <v>697800</v>
      </c>
    </row>
    <row r="26" spans="1:17" s="5" customFormat="1" ht="20" customHeight="1" x14ac:dyDescent="0.2">
      <c r="A26" s="3">
        <v>20</v>
      </c>
      <c r="B26" s="191">
        <v>68</v>
      </c>
      <c r="C26" s="177">
        <v>8</v>
      </c>
      <c r="D26" s="7" t="s">
        <v>288</v>
      </c>
      <c r="E26" s="7" t="s">
        <v>289</v>
      </c>
      <c r="F26" s="7" t="s">
        <v>129</v>
      </c>
      <c r="G26" s="6">
        <v>97</v>
      </c>
      <c r="H26" s="8">
        <v>734</v>
      </c>
      <c r="I26" s="8">
        <v>734</v>
      </c>
      <c r="J26" s="9">
        <f>I26-H26</f>
        <v>0</v>
      </c>
      <c r="K26" s="10">
        <v>378</v>
      </c>
      <c r="L26" s="10">
        <v>121.55</v>
      </c>
      <c r="M26" s="192" t="s">
        <v>290</v>
      </c>
      <c r="N26" s="129">
        <f>I26*P26/100</f>
        <v>367000</v>
      </c>
      <c r="O26" s="129">
        <f>K26*300</f>
        <v>113400</v>
      </c>
      <c r="P26" s="129">
        <v>50000</v>
      </c>
      <c r="Q26" s="129">
        <f>N26+O26</f>
        <v>480400</v>
      </c>
    </row>
    <row r="27" spans="1:17" s="5" customFormat="1" ht="20" customHeight="1" x14ac:dyDescent="0.2">
      <c r="A27" s="3">
        <v>21</v>
      </c>
      <c r="B27" s="191">
        <v>69</v>
      </c>
      <c r="C27" s="168">
        <v>8</v>
      </c>
      <c r="D27" s="7" t="s">
        <v>291</v>
      </c>
      <c r="E27" s="7" t="s">
        <v>292</v>
      </c>
      <c r="F27" s="7" t="s">
        <v>293</v>
      </c>
      <c r="G27" s="6">
        <v>121</v>
      </c>
      <c r="H27" s="8">
        <v>520</v>
      </c>
      <c r="I27" s="8">
        <v>520</v>
      </c>
      <c r="J27" s="9">
        <f>I27-H27</f>
        <v>0</v>
      </c>
      <c r="K27" s="10">
        <v>305</v>
      </c>
      <c r="L27" s="10">
        <v>132.96</v>
      </c>
      <c r="M27" s="192" t="s">
        <v>294</v>
      </c>
      <c r="N27" s="129">
        <f>I27*P27/100</f>
        <v>260000</v>
      </c>
      <c r="O27" s="129">
        <f>K27*300</f>
        <v>91500</v>
      </c>
      <c r="P27" s="129">
        <v>50000</v>
      </c>
      <c r="Q27" s="129">
        <f>N27+O27</f>
        <v>351500</v>
      </c>
    </row>
    <row r="28" spans="1:17" ht="20" customHeight="1" x14ac:dyDescent="0.2">
      <c r="A28" s="3">
        <v>22</v>
      </c>
      <c r="B28" s="191">
        <v>70</v>
      </c>
      <c r="C28" s="168">
        <v>8</v>
      </c>
      <c r="D28" s="7" t="s">
        <v>295</v>
      </c>
      <c r="E28" s="7" t="s">
        <v>296</v>
      </c>
      <c r="F28" s="7" t="s">
        <v>293</v>
      </c>
      <c r="G28" s="6" t="s">
        <v>297</v>
      </c>
      <c r="H28" s="8">
        <v>380</v>
      </c>
      <c r="I28" s="8">
        <v>380</v>
      </c>
      <c r="J28" s="9">
        <f>I28-H28</f>
        <v>0</v>
      </c>
      <c r="K28" s="10">
        <v>240</v>
      </c>
      <c r="L28" s="10">
        <v>110.6</v>
      </c>
      <c r="M28" s="192" t="s">
        <v>298</v>
      </c>
      <c r="N28" s="129">
        <f>I28*P28/100</f>
        <v>190000</v>
      </c>
      <c r="O28" s="129">
        <f>K28*300</f>
        <v>72000</v>
      </c>
      <c r="P28" s="129">
        <v>50000</v>
      </c>
      <c r="Q28" s="129">
        <f>N28+O28</f>
        <v>262000</v>
      </c>
    </row>
    <row r="29" spans="1:17" ht="20" customHeight="1" x14ac:dyDescent="0.2">
      <c r="A29" s="3">
        <v>23</v>
      </c>
      <c r="B29" s="191">
        <v>71</v>
      </c>
      <c r="C29" s="168">
        <v>8</v>
      </c>
      <c r="D29" s="7" t="s">
        <v>299</v>
      </c>
      <c r="E29" s="7" t="s">
        <v>300</v>
      </c>
      <c r="F29" s="7" t="s">
        <v>293</v>
      </c>
      <c r="G29" s="6">
        <v>40</v>
      </c>
      <c r="H29" s="8">
        <v>500</v>
      </c>
      <c r="I29" s="8">
        <v>500</v>
      </c>
      <c r="J29" s="9">
        <f>I29-H29</f>
        <v>0</v>
      </c>
      <c r="K29" s="10">
        <v>333</v>
      </c>
      <c r="L29" s="10">
        <v>255.79</v>
      </c>
      <c r="M29" s="192" t="s">
        <v>301</v>
      </c>
      <c r="N29" s="129">
        <f>I29*P29/100</f>
        <v>250000</v>
      </c>
      <c r="O29" s="129">
        <f>K29*300</f>
        <v>99900</v>
      </c>
      <c r="P29" s="129">
        <v>50000</v>
      </c>
      <c r="Q29" s="129">
        <f>N29+O29</f>
        <v>349900</v>
      </c>
    </row>
    <row r="30" spans="1:17" ht="20" customHeight="1" x14ac:dyDescent="0.2">
      <c r="A30" s="3">
        <v>24</v>
      </c>
      <c r="B30" s="193">
        <v>73</v>
      </c>
      <c r="C30" s="168">
        <v>8</v>
      </c>
      <c r="D30" s="7" t="s">
        <v>305</v>
      </c>
      <c r="E30" s="7" t="s">
        <v>306</v>
      </c>
      <c r="F30" s="7" t="s">
        <v>16</v>
      </c>
      <c r="G30" s="6">
        <v>63</v>
      </c>
      <c r="H30" s="8">
        <v>286</v>
      </c>
      <c r="I30" s="8">
        <v>286</v>
      </c>
      <c r="J30" s="9">
        <f>I30-H30</f>
        <v>0</v>
      </c>
      <c r="K30" s="10">
        <v>141</v>
      </c>
      <c r="L30" s="10">
        <v>93.53</v>
      </c>
      <c r="M30" s="192" t="s">
        <v>123</v>
      </c>
      <c r="N30" s="129">
        <f>I30*P30/100</f>
        <v>143000</v>
      </c>
      <c r="O30" s="129">
        <f>K30*300</f>
        <v>42300</v>
      </c>
      <c r="P30" s="129">
        <v>50000</v>
      </c>
      <c r="Q30" s="129">
        <f>N30+O30</f>
        <v>185300</v>
      </c>
    </row>
    <row r="31" spans="1:17" s="31" customFormat="1" ht="20" customHeight="1" x14ac:dyDescent="0.2">
      <c r="A31" s="3"/>
      <c r="B31" s="201"/>
      <c r="C31" s="167"/>
      <c r="D31" s="4"/>
      <c r="E31" s="4"/>
      <c r="F31" s="4"/>
      <c r="G31" s="3"/>
      <c r="H31" s="127">
        <f>SUM(H26:H30)</f>
        <v>2420</v>
      </c>
      <c r="I31" s="127">
        <f t="shared" ref="I31:Q31" si="3">SUM(I26:I30)</f>
        <v>2420</v>
      </c>
      <c r="J31" s="127">
        <f t="shared" si="3"/>
        <v>0</v>
      </c>
      <c r="K31" s="127">
        <f t="shared" si="3"/>
        <v>1397</v>
      </c>
      <c r="L31" s="127">
        <f t="shared" si="3"/>
        <v>714.43</v>
      </c>
      <c r="M31" s="127">
        <f t="shared" si="3"/>
        <v>0</v>
      </c>
      <c r="N31" s="127">
        <f t="shared" si="3"/>
        <v>1210000</v>
      </c>
      <c r="O31" s="127">
        <f t="shared" si="3"/>
        <v>419100</v>
      </c>
      <c r="P31" s="127">
        <f t="shared" si="3"/>
        <v>250000</v>
      </c>
      <c r="Q31" s="127">
        <f t="shared" si="3"/>
        <v>1629100</v>
      </c>
    </row>
    <row r="32" spans="1:17" ht="20" customHeight="1" x14ac:dyDescent="0.2">
      <c r="A32" s="3">
        <v>25</v>
      </c>
      <c r="B32" s="191">
        <v>5</v>
      </c>
      <c r="C32" s="168">
        <v>9</v>
      </c>
      <c r="D32" s="7" t="s">
        <v>91</v>
      </c>
      <c r="E32" s="7" t="s">
        <v>92</v>
      </c>
      <c r="F32" s="7" t="s">
        <v>16</v>
      </c>
      <c r="G32" s="6">
        <v>67</v>
      </c>
      <c r="H32" s="8">
        <v>600</v>
      </c>
      <c r="I32" s="8">
        <v>600</v>
      </c>
      <c r="J32" s="9">
        <f>I32-H32</f>
        <v>0</v>
      </c>
      <c r="K32" s="10">
        <v>407</v>
      </c>
      <c r="L32" s="10">
        <v>201.6</v>
      </c>
      <c r="M32" s="192" t="s">
        <v>93</v>
      </c>
      <c r="N32" s="129">
        <f>I32*P32/100</f>
        <v>300000</v>
      </c>
      <c r="O32" s="129">
        <f>K32*300</f>
        <v>122100</v>
      </c>
      <c r="P32" s="129">
        <v>50000</v>
      </c>
      <c r="Q32" s="129">
        <f>N32+O32</f>
        <v>422100</v>
      </c>
    </row>
    <row r="33" spans="1:17" ht="20" customHeight="1" x14ac:dyDescent="0.2">
      <c r="A33" s="3">
        <v>26</v>
      </c>
      <c r="B33" s="193">
        <v>74</v>
      </c>
      <c r="C33" s="168">
        <v>9</v>
      </c>
      <c r="D33" s="7" t="s">
        <v>307</v>
      </c>
      <c r="E33" s="7" t="s">
        <v>308</v>
      </c>
      <c r="F33" s="7" t="s">
        <v>16</v>
      </c>
      <c r="G33" s="6">
        <v>107</v>
      </c>
      <c r="H33" s="8">
        <v>660</v>
      </c>
      <c r="I33" s="8">
        <v>660</v>
      </c>
      <c r="J33" s="9">
        <f>I33-H33</f>
        <v>0</v>
      </c>
      <c r="K33" s="10">
        <v>404</v>
      </c>
      <c r="L33" s="10">
        <v>110.21</v>
      </c>
      <c r="M33" s="192" t="s">
        <v>309</v>
      </c>
      <c r="N33" s="129">
        <f>I33*P33/100</f>
        <v>330000</v>
      </c>
      <c r="O33" s="129">
        <f>K33*300</f>
        <v>121200</v>
      </c>
      <c r="P33" s="129">
        <v>50000</v>
      </c>
      <c r="Q33" s="129">
        <f>N33+O33</f>
        <v>451200</v>
      </c>
    </row>
    <row r="34" spans="1:17" ht="20" customHeight="1" x14ac:dyDescent="0.2">
      <c r="A34" s="3">
        <v>27</v>
      </c>
      <c r="B34" s="193">
        <v>75</v>
      </c>
      <c r="C34" s="168">
        <v>9</v>
      </c>
      <c r="D34" s="7" t="s">
        <v>307</v>
      </c>
      <c r="E34" s="7" t="s">
        <v>310</v>
      </c>
      <c r="F34" s="7" t="s">
        <v>16</v>
      </c>
      <c r="G34" s="6">
        <v>105</v>
      </c>
      <c r="H34" s="8">
        <v>1592</v>
      </c>
      <c r="I34" s="10">
        <v>663</v>
      </c>
      <c r="J34" s="9">
        <f>I34-H34</f>
        <v>-929</v>
      </c>
      <c r="K34" s="10">
        <v>146</v>
      </c>
      <c r="L34" s="10">
        <v>72.12</v>
      </c>
      <c r="M34" s="192" t="s">
        <v>196</v>
      </c>
      <c r="N34" s="129">
        <f>I34*P34/100</f>
        <v>331500</v>
      </c>
      <c r="O34" s="129">
        <f>K34*300</f>
        <v>43800</v>
      </c>
      <c r="P34" s="129">
        <v>50000</v>
      </c>
      <c r="Q34" s="129">
        <f>N34+O34</f>
        <v>375300</v>
      </c>
    </row>
    <row r="35" spans="1:17" ht="20" customHeight="1" x14ac:dyDescent="0.2">
      <c r="A35" s="3">
        <v>28</v>
      </c>
      <c r="B35" s="193">
        <v>76</v>
      </c>
      <c r="C35" s="168">
        <v>9</v>
      </c>
      <c r="D35" s="7" t="s">
        <v>311</v>
      </c>
      <c r="E35" s="7" t="s">
        <v>312</v>
      </c>
      <c r="F35" s="7" t="s">
        <v>16</v>
      </c>
      <c r="G35" s="6" t="s">
        <v>313</v>
      </c>
      <c r="H35" s="8">
        <v>1592</v>
      </c>
      <c r="I35" s="10">
        <v>929</v>
      </c>
      <c r="J35" s="9">
        <f>I35-H35</f>
        <v>-663</v>
      </c>
      <c r="K35" s="10">
        <v>465</v>
      </c>
      <c r="L35" s="10">
        <v>224.02</v>
      </c>
      <c r="M35" s="192" t="s">
        <v>314</v>
      </c>
      <c r="N35" s="129">
        <f>I35*P35/100</f>
        <v>464500</v>
      </c>
      <c r="O35" s="129">
        <f>K35*300</f>
        <v>139500</v>
      </c>
      <c r="P35" s="129">
        <v>50000</v>
      </c>
      <c r="Q35" s="129">
        <f>N35+O35</f>
        <v>604000</v>
      </c>
    </row>
    <row r="36" spans="1:17" ht="20" customHeight="1" x14ac:dyDescent="0.2">
      <c r="A36" s="3">
        <v>29</v>
      </c>
      <c r="B36" s="193">
        <v>77</v>
      </c>
      <c r="C36" s="168">
        <v>9</v>
      </c>
      <c r="D36" s="7" t="s">
        <v>315</v>
      </c>
      <c r="E36" s="7" t="s">
        <v>316</v>
      </c>
      <c r="F36" s="7" t="s">
        <v>16</v>
      </c>
      <c r="G36" s="6">
        <v>103</v>
      </c>
      <c r="H36" s="8">
        <v>488</v>
      </c>
      <c r="I36" s="8">
        <v>488</v>
      </c>
      <c r="J36" s="9">
        <f>I36-H36</f>
        <v>0</v>
      </c>
      <c r="K36" s="10">
        <v>93</v>
      </c>
      <c r="L36" s="10">
        <v>39.4</v>
      </c>
      <c r="M36" s="192" t="s">
        <v>317</v>
      </c>
      <c r="N36" s="129">
        <f>I36*P36/100</f>
        <v>244000</v>
      </c>
      <c r="O36" s="129">
        <f>K36*300</f>
        <v>27900</v>
      </c>
      <c r="P36" s="129">
        <v>50000</v>
      </c>
      <c r="Q36" s="129">
        <f>N36+O36</f>
        <v>271900</v>
      </c>
    </row>
    <row r="37" spans="1:17" ht="20" customHeight="1" x14ac:dyDescent="0.2">
      <c r="A37" s="3">
        <v>30</v>
      </c>
      <c r="B37" s="193">
        <v>78</v>
      </c>
      <c r="C37" s="168">
        <v>9</v>
      </c>
      <c r="D37" s="7" t="s">
        <v>241</v>
      </c>
      <c r="E37" s="7" t="s">
        <v>318</v>
      </c>
      <c r="F37" s="7" t="s">
        <v>16</v>
      </c>
      <c r="G37" s="6">
        <v>101</v>
      </c>
      <c r="H37" s="8">
        <v>600</v>
      </c>
      <c r="I37" s="10">
        <v>670</v>
      </c>
      <c r="J37" s="9">
        <f>I37-H37</f>
        <v>70</v>
      </c>
      <c r="K37" s="10">
        <v>134</v>
      </c>
      <c r="L37" s="10">
        <v>43.11</v>
      </c>
      <c r="M37" s="192" t="s">
        <v>319</v>
      </c>
      <c r="N37" s="129">
        <f>I37*P37/100</f>
        <v>335000</v>
      </c>
      <c r="O37" s="129">
        <f>K37*300</f>
        <v>40200</v>
      </c>
      <c r="P37" s="129">
        <v>50000</v>
      </c>
      <c r="Q37" s="129">
        <f>N37+O37</f>
        <v>375200</v>
      </c>
    </row>
    <row r="38" spans="1:17" ht="20" customHeight="1" x14ac:dyDescent="0.2">
      <c r="A38" s="3">
        <v>31</v>
      </c>
      <c r="B38" s="193">
        <v>79</v>
      </c>
      <c r="C38" s="168">
        <v>9</v>
      </c>
      <c r="D38" s="7" t="s">
        <v>320</v>
      </c>
      <c r="E38" s="7" t="s">
        <v>321</v>
      </c>
      <c r="F38" s="7" t="s">
        <v>16</v>
      </c>
      <c r="G38" s="6">
        <v>1</v>
      </c>
      <c r="H38" s="8">
        <v>558</v>
      </c>
      <c r="I38" s="10">
        <v>572</v>
      </c>
      <c r="J38" s="9">
        <f>I38-H38</f>
        <v>14</v>
      </c>
      <c r="K38" s="10">
        <v>295</v>
      </c>
      <c r="L38" s="10">
        <v>99.59</v>
      </c>
      <c r="M38" s="192" t="s">
        <v>322</v>
      </c>
      <c r="N38" s="129">
        <f>I38*P38/100</f>
        <v>343200</v>
      </c>
      <c r="O38" s="129">
        <f>K38*300</f>
        <v>88500</v>
      </c>
      <c r="P38" s="129">
        <v>60000</v>
      </c>
      <c r="Q38" s="129">
        <f>N38+O38</f>
        <v>431700</v>
      </c>
    </row>
    <row r="39" spans="1:17" ht="20" customHeight="1" x14ac:dyDescent="0.2">
      <c r="A39" s="3">
        <v>32</v>
      </c>
      <c r="B39" s="193">
        <v>80</v>
      </c>
      <c r="C39" s="168">
        <v>9</v>
      </c>
      <c r="D39" s="7" t="s">
        <v>323</v>
      </c>
      <c r="E39" s="7" t="s">
        <v>324</v>
      </c>
      <c r="F39" s="7" t="s">
        <v>16</v>
      </c>
      <c r="G39" s="6">
        <v>3</v>
      </c>
      <c r="H39" s="8">
        <v>1310</v>
      </c>
      <c r="I39" s="8">
        <v>1310</v>
      </c>
      <c r="J39" s="9">
        <f>I39-H39</f>
        <v>0</v>
      </c>
      <c r="K39" s="10">
        <v>639</v>
      </c>
      <c r="L39" s="10">
        <v>269.67</v>
      </c>
      <c r="M39" s="192" t="s">
        <v>325</v>
      </c>
      <c r="N39" s="129">
        <f>I39*P39/100</f>
        <v>786000</v>
      </c>
      <c r="O39" s="129">
        <f>K39*300</f>
        <v>191700</v>
      </c>
      <c r="P39" s="129">
        <v>60000</v>
      </c>
      <c r="Q39" s="129">
        <f>N39+O39</f>
        <v>977700</v>
      </c>
    </row>
    <row r="40" spans="1:17" ht="20" customHeight="1" x14ac:dyDescent="0.2">
      <c r="A40" s="3">
        <v>33</v>
      </c>
      <c r="B40" s="193">
        <v>81</v>
      </c>
      <c r="C40" s="168">
        <v>9</v>
      </c>
      <c r="D40" s="7" t="s">
        <v>326</v>
      </c>
      <c r="E40" s="7" t="s">
        <v>327</v>
      </c>
      <c r="F40" s="7" t="s">
        <v>16</v>
      </c>
      <c r="G40" s="6" t="s">
        <v>328</v>
      </c>
      <c r="H40" s="8">
        <v>885</v>
      </c>
      <c r="I40" s="10">
        <v>904</v>
      </c>
      <c r="J40" s="9">
        <f>I40-H40</f>
        <v>19</v>
      </c>
      <c r="K40" s="10">
        <v>508</v>
      </c>
      <c r="L40" s="10">
        <v>125.99</v>
      </c>
      <c r="M40" s="192" t="s">
        <v>329</v>
      </c>
      <c r="N40" s="129">
        <f>I40*P40/100</f>
        <v>452000</v>
      </c>
      <c r="O40" s="129">
        <f>K40*300</f>
        <v>152400</v>
      </c>
      <c r="P40" s="129">
        <v>50000</v>
      </c>
      <c r="Q40" s="129">
        <f>N40+O40</f>
        <v>604400</v>
      </c>
    </row>
    <row r="41" spans="1:17" ht="20" customHeight="1" x14ac:dyDescent="0.2">
      <c r="A41" s="3">
        <v>34</v>
      </c>
      <c r="B41" s="193">
        <v>82</v>
      </c>
      <c r="C41" s="168">
        <v>9</v>
      </c>
      <c r="D41" s="7" t="s">
        <v>330</v>
      </c>
      <c r="E41" s="7" t="s">
        <v>331</v>
      </c>
      <c r="F41" s="7" t="s">
        <v>16</v>
      </c>
      <c r="G41" s="6" t="s">
        <v>332</v>
      </c>
      <c r="H41" s="8">
        <v>430</v>
      </c>
      <c r="I41" s="8">
        <v>430</v>
      </c>
      <c r="J41" s="9">
        <f>I41-H41</f>
        <v>0</v>
      </c>
      <c r="K41" s="10">
        <v>179</v>
      </c>
      <c r="L41" s="10">
        <v>28.6</v>
      </c>
      <c r="M41" s="192" t="s">
        <v>333</v>
      </c>
      <c r="N41" s="129">
        <f>I41*P41/100</f>
        <v>215000</v>
      </c>
      <c r="O41" s="129">
        <f>K41*300</f>
        <v>53700</v>
      </c>
      <c r="P41" s="129">
        <v>50000</v>
      </c>
      <c r="Q41" s="129">
        <f>N41+O41</f>
        <v>268700</v>
      </c>
    </row>
    <row r="42" spans="1:17" ht="20" customHeight="1" x14ac:dyDescent="0.2">
      <c r="A42" s="3">
        <v>35</v>
      </c>
      <c r="B42" s="193">
        <v>86</v>
      </c>
      <c r="C42" s="168">
        <v>9</v>
      </c>
      <c r="D42" s="7" t="s">
        <v>344</v>
      </c>
      <c r="E42" s="7" t="s">
        <v>345</v>
      </c>
      <c r="F42" s="7" t="s">
        <v>16</v>
      </c>
      <c r="G42" s="6">
        <v>11</v>
      </c>
      <c r="H42" s="8">
        <v>631</v>
      </c>
      <c r="I42" s="8">
        <v>631</v>
      </c>
      <c r="J42" s="9">
        <f>I42-H42</f>
        <v>0</v>
      </c>
      <c r="K42" s="10">
        <v>227</v>
      </c>
      <c r="L42" s="10">
        <v>107.48</v>
      </c>
      <c r="M42" s="192" t="s">
        <v>346</v>
      </c>
      <c r="N42" s="129">
        <f>I42*P42/100</f>
        <v>315500</v>
      </c>
      <c r="O42" s="129">
        <f>K42*300</f>
        <v>68100</v>
      </c>
      <c r="P42" s="129">
        <v>50000</v>
      </c>
      <c r="Q42" s="129">
        <f>N42+O42</f>
        <v>383600</v>
      </c>
    </row>
    <row r="43" spans="1:17" ht="20" customHeight="1" x14ac:dyDescent="0.2">
      <c r="A43" s="3">
        <v>36</v>
      </c>
      <c r="B43" s="193">
        <v>88</v>
      </c>
      <c r="C43" s="168">
        <v>9</v>
      </c>
      <c r="D43" s="7" t="s">
        <v>350</v>
      </c>
      <c r="E43" s="7" t="s">
        <v>351</v>
      </c>
      <c r="F43" s="7" t="s">
        <v>16</v>
      </c>
      <c r="G43" s="6" t="s">
        <v>352</v>
      </c>
      <c r="H43" s="8">
        <v>588</v>
      </c>
      <c r="I43" s="8">
        <v>588</v>
      </c>
      <c r="J43" s="9">
        <f>I43-H43</f>
        <v>0</v>
      </c>
      <c r="K43" s="10">
        <v>225</v>
      </c>
      <c r="L43" s="10">
        <v>179.76</v>
      </c>
      <c r="M43" s="192" t="s">
        <v>353</v>
      </c>
      <c r="N43" s="129">
        <f>I43*P43/100</f>
        <v>294000</v>
      </c>
      <c r="O43" s="129">
        <f>K43*300</f>
        <v>67500</v>
      </c>
      <c r="P43" s="129">
        <v>50000</v>
      </c>
      <c r="Q43" s="129">
        <f>N43+O43</f>
        <v>361500</v>
      </c>
    </row>
    <row r="44" spans="1:17" ht="20" customHeight="1" x14ac:dyDescent="0.2">
      <c r="A44" s="3">
        <v>37</v>
      </c>
      <c r="B44" s="194">
        <v>89</v>
      </c>
      <c r="C44" s="168">
        <v>9</v>
      </c>
      <c r="D44" s="7" t="s">
        <v>354</v>
      </c>
      <c r="E44" s="7" t="s">
        <v>355</v>
      </c>
      <c r="F44" s="7" t="s">
        <v>16</v>
      </c>
      <c r="G44" s="6">
        <v>20</v>
      </c>
      <c r="H44" s="8">
        <v>600</v>
      </c>
      <c r="I44" s="8">
        <v>600</v>
      </c>
      <c r="J44" s="9">
        <f>I44-H44</f>
        <v>0</v>
      </c>
      <c r="K44" s="10">
        <v>360</v>
      </c>
      <c r="L44" s="10">
        <v>137.62</v>
      </c>
      <c r="M44" s="192" t="s">
        <v>356</v>
      </c>
      <c r="N44" s="129">
        <f>I44*P44/100</f>
        <v>360000</v>
      </c>
      <c r="O44" s="129">
        <f>K44*300</f>
        <v>108000</v>
      </c>
      <c r="P44" s="129">
        <v>60000</v>
      </c>
      <c r="Q44" s="129">
        <f>N44+O44</f>
        <v>468000</v>
      </c>
    </row>
    <row r="45" spans="1:17" ht="20" customHeight="1" x14ac:dyDescent="0.2">
      <c r="A45" s="3">
        <v>38</v>
      </c>
      <c r="B45" s="194">
        <v>90</v>
      </c>
      <c r="C45" s="168">
        <v>9</v>
      </c>
      <c r="D45" s="7" t="s">
        <v>357</v>
      </c>
      <c r="E45" s="7" t="s">
        <v>358</v>
      </c>
      <c r="F45" s="7" t="s">
        <v>16</v>
      </c>
      <c r="G45" s="6" t="s">
        <v>359</v>
      </c>
      <c r="H45" s="8">
        <v>300</v>
      </c>
      <c r="I45" s="10">
        <v>295</v>
      </c>
      <c r="J45" s="9">
        <f>I45-H45</f>
        <v>-5</v>
      </c>
      <c r="K45" s="10">
        <v>295</v>
      </c>
      <c r="L45" s="10">
        <v>31.36</v>
      </c>
      <c r="M45" s="192" t="s">
        <v>360</v>
      </c>
      <c r="N45" s="129">
        <f>I45*P45/100</f>
        <v>177000</v>
      </c>
      <c r="O45" s="129">
        <f>K45*300</f>
        <v>88500</v>
      </c>
      <c r="P45" s="129">
        <v>60000</v>
      </c>
      <c r="Q45" s="129">
        <f>N45+O45</f>
        <v>265500</v>
      </c>
    </row>
    <row r="46" spans="1:17" ht="20" customHeight="1" x14ac:dyDescent="0.2">
      <c r="A46" s="3">
        <v>39</v>
      </c>
      <c r="B46" s="194">
        <v>91</v>
      </c>
      <c r="C46" s="168">
        <v>9</v>
      </c>
      <c r="D46" s="7" t="s">
        <v>361</v>
      </c>
      <c r="E46" s="7" t="s">
        <v>362</v>
      </c>
      <c r="F46" s="7" t="s">
        <v>363</v>
      </c>
      <c r="G46" s="6" t="s">
        <v>364</v>
      </c>
      <c r="H46" s="8">
        <v>171</v>
      </c>
      <c r="I46" s="8">
        <v>171</v>
      </c>
      <c r="J46" s="9">
        <f>I46-H46</f>
        <v>0</v>
      </c>
      <c r="K46" s="10">
        <v>102</v>
      </c>
      <c r="L46" s="10">
        <v>50.64</v>
      </c>
      <c r="M46" s="192" t="s">
        <v>365</v>
      </c>
      <c r="N46" s="129">
        <f>I46*P46/100</f>
        <v>85500</v>
      </c>
      <c r="O46" s="129">
        <f>K46*300</f>
        <v>30600</v>
      </c>
      <c r="P46" s="129">
        <v>50000</v>
      </c>
      <c r="Q46" s="129">
        <f>N46+O46</f>
        <v>116100</v>
      </c>
    </row>
    <row r="47" spans="1:17" ht="20" customHeight="1" x14ac:dyDescent="0.2">
      <c r="A47" s="3">
        <v>40</v>
      </c>
      <c r="B47" s="194">
        <v>92</v>
      </c>
      <c r="C47" s="168">
        <v>9</v>
      </c>
      <c r="D47" s="7" t="s">
        <v>366</v>
      </c>
      <c r="E47" s="7" t="s">
        <v>367</v>
      </c>
      <c r="F47" s="7" t="s">
        <v>303</v>
      </c>
      <c r="G47" s="6">
        <v>18</v>
      </c>
      <c r="H47" s="8">
        <v>674</v>
      </c>
      <c r="I47" s="10">
        <v>503</v>
      </c>
      <c r="J47" s="9">
        <f>I47-H47</f>
        <v>-171</v>
      </c>
      <c r="K47" s="10">
        <v>284</v>
      </c>
      <c r="L47" s="10">
        <v>161.47999999999999</v>
      </c>
      <c r="M47" s="192" t="s">
        <v>368</v>
      </c>
      <c r="N47" s="129">
        <f>I47*P47/100</f>
        <v>251500</v>
      </c>
      <c r="O47" s="129">
        <f>K47*300</f>
        <v>85200</v>
      </c>
      <c r="P47" s="129">
        <v>50000</v>
      </c>
      <c r="Q47" s="129">
        <f>N47+O47</f>
        <v>336700</v>
      </c>
    </row>
    <row r="48" spans="1:17" ht="20" customHeight="1" x14ac:dyDescent="0.2">
      <c r="A48" s="3">
        <v>41</v>
      </c>
      <c r="B48" s="194">
        <v>93</v>
      </c>
      <c r="C48" s="168">
        <v>9</v>
      </c>
      <c r="D48" s="7" t="s">
        <v>369</v>
      </c>
      <c r="E48" s="7" t="s">
        <v>370</v>
      </c>
      <c r="F48" s="7" t="s">
        <v>16</v>
      </c>
      <c r="G48" s="6">
        <v>22</v>
      </c>
      <c r="H48" s="8">
        <v>300</v>
      </c>
      <c r="I48" s="8">
        <v>300</v>
      </c>
      <c r="J48" s="9">
        <f>I48-H48</f>
        <v>0</v>
      </c>
      <c r="K48" s="10">
        <v>64</v>
      </c>
      <c r="L48" s="10">
        <v>35.06</v>
      </c>
      <c r="M48" s="192" t="s">
        <v>371</v>
      </c>
      <c r="N48" s="129">
        <f>I48*P48/100</f>
        <v>180000</v>
      </c>
      <c r="O48" s="129">
        <f>K48*300</f>
        <v>19200</v>
      </c>
      <c r="P48" s="129">
        <v>60000</v>
      </c>
      <c r="Q48" s="129">
        <f>N48+O48</f>
        <v>199200</v>
      </c>
    </row>
    <row r="49" spans="1:17" ht="20" customHeight="1" x14ac:dyDescent="0.2">
      <c r="A49" s="3">
        <v>42</v>
      </c>
      <c r="B49" s="194">
        <v>94</v>
      </c>
      <c r="C49" s="168">
        <v>9</v>
      </c>
      <c r="D49" s="7" t="s">
        <v>372</v>
      </c>
      <c r="E49" s="7" t="s">
        <v>373</v>
      </c>
      <c r="F49" s="7" t="s">
        <v>16</v>
      </c>
      <c r="G49" s="6" t="s">
        <v>374</v>
      </c>
      <c r="H49" s="8">
        <v>340</v>
      </c>
      <c r="I49" s="10">
        <v>340</v>
      </c>
      <c r="J49" s="9">
        <f>I49-H49</f>
        <v>0</v>
      </c>
      <c r="K49" s="10">
        <v>244</v>
      </c>
      <c r="L49" s="10">
        <v>139.44999999999999</v>
      </c>
      <c r="M49" s="192" t="s">
        <v>375</v>
      </c>
      <c r="N49" s="129">
        <f>I49*P49/100</f>
        <v>204000</v>
      </c>
      <c r="O49" s="129">
        <f>K49*300</f>
        <v>73200</v>
      </c>
      <c r="P49" s="129">
        <v>60000</v>
      </c>
      <c r="Q49" s="129">
        <f>N49+O49</f>
        <v>277200</v>
      </c>
    </row>
    <row r="50" spans="1:17" ht="20" customHeight="1" x14ac:dyDescent="0.2">
      <c r="A50" s="3">
        <v>43</v>
      </c>
      <c r="B50" s="194">
        <v>95</v>
      </c>
      <c r="C50" s="168">
        <v>9</v>
      </c>
      <c r="D50" s="7" t="s">
        <v>376</v>
      </c>
      <c r="E50" s="7" t="s">
        <v>377</v>
      </c>
      <c r="F50" s="7" t="s">
        <v>16</v>
      </c>
      <c r="G50" s="6">
        <v>24</v>
      </c>
      <c r="H50" s="8">
        <v>600</v>
      </c>
      <c r="I50" s="10">
        <v>774</v>
      </c>
      <c r="J50" s="9">
        <f>I50-H50</f>
        <v>174</v>
      </c>
      <c r="K50" s="10">
        <v>223</v>
      </c>
      <c r="L50" s="10">
        <v>129.63999999999999</v>
      </c>
      <c r="M50" s="192" t="s">
        <v>378</v>
      </c>
      <c r="N50" s="129">
        <f>I50*P50/100</f>
        <v>464400</v>
      </c>
      <c r="O50" s="129">
        <f>K50*300</f>
        <v>66900</v>
      </c>
      <c r="P50" s="129">
        <v>60000</v>
      </c>
      <c r="Q50" s="129">
        <f>N50+O50</f>
        <v>531300</v>
      </c>
    </row>
    <row r="51" spans="1:17" ht="20" customHeight="1" x14ac:dyDescent="0.2">
      <c r="A51" s="3">
        <v>44</v>
      </c>
      <c r="B51" s="194">
        <v>96</v>
      </c>
      <c r="C51" s="168">
        <v>9</v>
      </c>
      <c r="D51" s="7" t="s">
        <v>379</v>
      </c>
      <c r="E51" s="7" t="s">
        <v>380</v>
      </c>
      <c r="F51" s="7" t="s">
        <v>16</v>
      </c>
      <c r="G51" s="6">
        <v>26</v>
      </c>
      <c r="H51" s="8">
        <v>908</v>
      </c>
      <c r="I51" s="10">
        <v>893</v>
      </c>
      <c r="J51" s="9">
        <f>I51-H51</f>
        <v>-15</v>
      </c>
      <c r="K51" s="10">
        <v>485</v>
      </c>
      <c r="L51" s="10">
        <v>176.38</v>
      </c>
      <c r="M51" s="192" t="s">
        <v>381</v>
      </c>
      <c r="N51" s="129">
        <f>I51*P51/100</f>
        <v>535800</v>
      </c>
      <c r="O51" s="129">
        <f>K51*300</f>
        <v>145500</v>
      </c>
      <c r="P51" s="129">
        <v>60000</v>
      </c>
      <c r="Q51" s="129">
        <f>N51+O51</f>
        <v>681300</v>
      </c>
    </row>
    <row r="52" spans="1:17" ht="20" customHeight="1" x14ac:dyDescent="0.2">
      <c r="A52" s="3">
        <v>45</v>
      </c>
      <c r="B52" s="194">
        <v>97</v>
      </c>
      <c r="C52" s="168">
        <v>9</v>
      </c>
      <c r="D52" s="7" t="s">
        <v>382</v>
      </c>
      <c r="E52" s="7" t="s">
        <v>383</v>
      </c>
      <c r="F52" s="7" t="s">
        <v>16</v>
      </c>
      <c r="G52" s="6">
        <v>14</v>
      </c>
      <c r="H52" s="8">
        <v>600</v>
      </c>
      <c r="I52" s="8">
        <v>600</v>
      </c>
      <c r="J52" s="9">
        <f>I52-H52</f>
        <v>0</v>
      </c>
      <c r="K52" s="10">
        <v>296</v>
      </c>
      <c r="L52" s="10">
        <v>131.83000000000001</v>
      </c>
      <c r="M52" s="192" t="s">
        <v>384</v>
      </c>
      <c r="N52" s="129">
        <f>I52*P52/100</f>
        <v>300000</v>
      </c>
      <c r="O52" s="129">
        <f>K52*300</f>
        <v>88800</v>
      </c>
      <c r="P52" s="129">
        <v>50000</v>
      </c>
      <c r="Q52" s="129">
        <f>N52+O52</f>
        <v>388800</v>
      </c>
    </row>
    <row r="53" spans="1:17" ht="20" customHeight="1" x14ac:dyDescent="0.2">
      <c r="A53" s="3">
        <v>46</v>
      </c>
      <c r="B53" s="194">
        <v>98</v>
      </c>
      <c r="C53" s="168">
        <v>9</v>
      </c>
      <c r="D53" s="7" t="s">
        <v>385</v>
      </c>
      <c r="E53" s="7" t="s">
        <v>386</v>
      </c>
      <c r="F53" s="7" t="s">
        <v>16</v>
      </c>
      <c r="G53" s="6">
        <v>28</v>
      </c>
      <c r="H53" s="8">
        <v>847</v>
      </c>
      <c r="I53" s="10">
        <v>813</v>
      </c>
      <c r="J53" s="9">
        <f>I53-H53</f>
        <v>-34</v>
      </c>
      <c r="K53" s="10">
        <v>370</v>
      </c>
      <c r="L53" s="10">
        <v>275.27999999999997</v>
      </c>
      <c r="M53" s="192" t="s">
        <v>387</v>
      </c>
      <c r="N53" s="129">
        <f>I53*P53/100</f>
        <v>487800</v>
      </c>
      <c r="O53" s="129">
        <f>K53*300</f>
        <v>111000</v>
      </c>
      <c r="P53" s="129">
        <v>60000</v>
      </c>
      <c r="Q53" s="129">
        <f>N53+O53</f>
        <v>598800</v>
      </c>
    </row>
    <row r="54" spans="1:17" ht="20" customHeight="1" x14ac:dyDescent="0.2">
      <c r="A54" s="3">
        <v>47</v>
      </c>
      <c r="B54" s="194">
        <v>99</v>
      </c>
      <c r="C54" s="168">
        <v>9</v>
      </c>
      <c r="D54" s="7" t="s">
        <v>388</v>
      </c>
      <c r="E54" s="7" t="s">
        <v>389</v>
      </c>
      <c r="F54" s="7" t="s">
        <v>16</v>
      </c>
      <c r="G54" s="6">
        <v>47</v>
      </c>
      <c r="H54" s="8">
        <v>456</v>
      </c>
      <c r="I54" s="8">
        <v>456</v>
      </c>
      <c r="J54" s="9">
        <f>I54-H54</f>
        <v>0</v>
      </c>
      <c r="K54" s="10">
        <v>233</v>
      </c>
      <c r="L54" s="10">
        <v>59.55</v>
      </c>
      <c r="M54" s="192" t="s">
        <v>158</v>
      </c>
      <c r="N54" s="129">
        <f>I54*P54/100</f>
        <v>273600</v>
      </c>
      <c r="O54" s="129">
        <f>K54*300</f>
        <v>69900</v>
      </c>
      <c r="P54" s="129">
        <v>60000</v>
      </c>
      <c r="Q54" s="129">
        <f>N54+O54</f>
        <v>343500</v>
      </c>
    </row>
    <row r="55" spans="1:17" ht="20" customHeight="1" x14ac:dyDescent="0.2">
      <c r="A55" s="3">
        <v>48</v>
      </c>
      <c r="B55" s="194">
        <v>100</v>
      </c>
      <c r="C55" s="168">
        <v>9</v>
      </c>
      <c r="D55" s="7" t="s">
        <v>390</v>
      </c>
      <c r="E55" s="7" t="s">
        <v>391</v>
      </c>
      <c r="F55" s="7" t="s">
        <v>16</v>
      </c>
      <c r="G55" s="6" t="s">
        <v>392</v>
      </c>
      <c r="H55" s="8">
        <v>470</v>
      </c>
      <c r="I55" s="8">
        <v>470</v>
      </c>
      <c r="J55" s="9">
        <f>I55-H55</f>
        <v>0</v>
      </c>
      <c r="K55" s="10">
        <v>208</v>
      </c>
      <c r="L55" s="10">
        <v>76.64</v>
      </c>
      <c r="M55" s="192" t="s">
        <v>393</v>
      </c>
      <c r="N55" s="129">
        <f>I55*P55/100</f>
        <v>282000</v>
      </c>
      <c r="O55" s="129">
        <f>K55*300</f>
        <v>62400</v>
      </c>
      <c r="P55" s="129">
        <v>60000</v>
      </c>
      <c r="Q55" s="129">
        <f>N55+O55</f>
        <v>344400</v>
      </c>
    </row>
    <row r="56" spans="1:17" ht="20" customHeight="1" x14ac:dyDescent="0.2">
      <c r="A56" s="3">
        <v>49</v>
      </c>
      <c r="B56" s="194">
        <v>101</v>
      </c>
      <c r="C56" s="168">
        <v>9</v>
      </c>
      <c r="D56" s="7" t="s">
        <v>394</v>
      </c>
      <c r="E56" s="7" t="s">
        <v>395</v>
      </c>
      <c r="F56" s="7" t="s">
        <v>16</v>
      </c>
      <c r="G56" s="6" t="s">
        <v>396</v>
      </c>
      <c r="H56" s="8">
        <v>600</v>
      </c>
      <c r="I56" s="8">
        <v>600</v>
      </c>
      <c r="J56" s="9">
        <f>I56-H56</f>
        <v>0</v>
      </c>
      <c r="K56" s="10">
        <v>217</v>
      </c>
      <c r="L56" s="10">
        <v>32.6</v>
      </c>
      <c r="M56" s="192" t="s">
        <v>397</v>
      </c>
      <c r="N56" s="129">
        <f>I56*P56/100</f>
        <v>300000</v>
      </c>
      <c r="O56" s="129">
        <f>K56*300</f>
        <v>65100</v>
      </c>
      <c r="P56" s="129">
        <v>50000</v>
      </c>
      <c r="Q56" s="129">
        <f>N56+O56</f>
        <v>365100</v>
      </c>
    </row>
    <row r="57" spans="1:17" ht="20" customHeight="1" x14ac:dyDescent="0.2">
      <c r="A57" s="3">
        <v>50</v>
      </c>
      <c r="B57" s="194">
        <v>102</v>
      </c>
      <c r="C57" s="168">
        <v>9</v>
      </c>
      <c r="D57" s="7" t="s">
        <v>398</v>
      </c>
      <c r="E57" s="7" t="s">
        <v>399</v>
      </c>
      <c r="F57" s="7" t="s">
        <v>16</v>
      </c>
      <c r="G57" s="6">
        <v>49</v>
      </c>
      <c r="H57" s="8">
        <v>600</v>
      </c>
      <c r="I57" s="10">
        <v>580</v>
      </c>
      <c r="J57" s="9">
        <f>I57-H57</f>
        <v>-20</v>
      </c>
      <c r="K57" s="10">
        <v>463</v>
      </c>
      <c r="L57" s="10">
        <v>167.48</v>
      </c>
      <c r="M57" s="192" t="s">
        <v>196</v>
      </c>
      <c r="N57" s="129">
        <f>I57*P57/100</f>
        <v>290000</v>
      </c>
      <c r="O57" s="129">
        <f>K57*300</f>
        <v>138900</v>
      </c>
      <c r="P57" s="129">
        <v>50000</v>
      </c>
      <c r="Q57" s="129">
        <f>N57+O57</f>
        <v>428900</v>
      </c>
    </row>
    <row r="58" spans="1:17" ht="20" customHeight="1" x14ac:dyDescent="0.2">
      <c r="A58" s="3">
        <v>51</v>
      </c>
      <c r="B58" s="194">
        <v>103</v>
      </c>
      <c r="C58" s="168">
        <v>9</v>
      </c>
      <c r="D58" s="7" t="s">
        <v>400</v>
      </c>
      <c r="E58" s="7" t="s">
        <v>401</v>
      </c>
      <c r="F58" s="7" t="s">
        <v>16</v>
      </c>
      <c r="G58" s="6">
        <v>5</v>
      </c>
      <c r="H58" s="8">
        <v>600</v>
      </c>
      <c r="I58" s="8">
        <v>600</v>
      </c>
      <c r="J58" s="9">
        <f>I58-H58</f>
        <v>0</v>
      </c>
      <c r="K58" s="10">
        <v>540</v>
      </c>
      <c r="L58" s="10">
        <v>216.77</v>
      </c>
      <c r="M58" s="192" t="s">
        <v>402</v>
      </c>
      <c r="N58" s="129">
        <f>I58*P58/100</f>
        <v>300000</v>
      </c>
      <c r="O58" s="129">
        <f>K58*300</f>
        <v>162000</v>
      </c>
      <c r="P58" s="129">
        <v>50000</v>
      </c>
      <c r="Q58" s="129">
        <f>N58+O58</f>
        <v>462000</v>
      </c>
    </row>
    <row r="59" spans="1:17" ht="20" customHeight="1" x14ac:dyDescent="0.2">
      <c r="A59" s="3">
        <v>52</v>
      </c>
      <c r="B59" s="194">
        <v>104</v>
      </c>
      <c r="C59" s="168">
        <v>9</v>
      </c>
      <c r="D59" s="7" t="s">
        <v>403</v>
      </c>
      <c r="E59" s="7" t="s">
        <v>404</v>
      </c>
      <c r="F59" s="7" t="s">
        <v>16</v>
      </c>
      <c r="G59" s="6">
        <v>6</v>
      </c>
      <c r="H59" s="8">
        <v>648</v>
      </c>
      <c r="I59" s="10">
        <v>605</v>
      </c>
      <c r="J59" s="9">
        <f>I59-H59</f>
        <v>-43</v>
      </c>
      <c r="K59" s="10">
        <v>402</v>
      </c>
      <c r="L59" s="10">
        <v>197.97</v>
      </c>
      <c r="M59" s="192" t="s">
        <v>405</v>
      </c>
      <c r="N59" s="129">
        <f>I59*P59/100</f>
        <v>302500</v>
      </c>
      <c r="O59" s="129">
        <f>K59*300</f>
        <v>120600</v>
      </c>
      <c r="P59" s="129">
        <v>50000</v>
      </c>
      <c r="Q59" s="129">
        <f>N59+O59</f>
        <v>423100</v>
      </c>
    </row>
    <row r="60" spans="1:17" ht="20" customHeight="1" x14ac:dyDescent="0.2">
      <c r="A60" s="3">
        <v>53</v>
      </c>
      <c r="B60" s="194">
        <v>105</v>
      </c>
      <c r="C60" s="168">
        <v>9</v>
      </c>
      <c r="D60" s="7" t="s">
        <v>406</v>
      </c>
      <c r="E60" s="7" t="s">
        <v>407</v>
      </c>
      <c r="F60" s="7" t="s">
        <v>16</v>
      </c>
      <c r="G60" s="6">
        <v>51</v>
      </c>
      <c r="H60" s="8">
        <v>791</v>
      </c>
      <c r="I60" s="10">
        <v>1270</v>
      </c>
      <c r="J60" s="9">
        <f>I60-H60</f>
        <v>479</v>
      </c>
      <c r="K60" s="10">
        <v>475</v>
      </c>
      <c r="L60" s="10">
        <v>198.25</v>
      </c>
      <c r="M60" s="192" t="s">
        <v>408</v>
      </c>
      <c r="N60" s="129">
        <f>I60*P60/100</f>
        <v>635000</v>
      </c>
      <c r="O60" s="129">
        <f>K60*300</f>
        <v>142500</v>
      </c>
      <c r="P60" s="129">
        <v>50000</v>
      </c>
      <c r="Q60" s="129">
        <f>N60+O60</f>
        <v>777500</v>
      </c>
    </row>
    <row r="61" spans="1:17" ht="20" customHeight="1" x14ac:dyDescent="0.2">
      <c r="A61" s="3">
        <v>54</v>
      </c>
      <c r="B61" s="194">
        <v>106</v>
      </c>
      <c r="C61" s="168">
        <v>9</v>
      </c>
      <c r="D61" s="7" t="s">
        <v>409</v>
      </c>
      <c r="E61" s="7" t="s">
        <v>410</v>
      </c>
      <c r="F61" s="7" t="s">
        <v>16</v>
      </c>
      <c r="G61" s="6">
        <v>3</v>
      </c>
      <c r="H61" s="8">
        <v>600</v>
      </c>
      <c r="I61" s="10">
        <v>877</v>
      </c>
      <c r="J61" s="9">
        <f>I61-H61</f>
        <v>277</v>
      </c>
      <c r="K61" s="10">
        <v>409</v>
      </c>
      <c r="L61" s="10">
        <v>23.79</v>
      </c>
      <c r="M61" s="192" t="s">
        <v>126</v>
      </c>
      <c r="N61" s="129">
        <f>I61*P61/100</f>
        <v>438500</v>
      </c>
      <c r="O61" s="129">
        <f>K61*300</f>
        <v>122700</v>
      </c>
      <c r="P61" s="129">
        <v>50000</v>
      </c>
      <c r="Q61" s="129">
        <f>N61+O61</f>
        <v>561200</v>
      </c>
    </row>
    <row r="62" spans="1:17" ht="20" customHeight="1" x14ac:dyDescent="0.2">
      <c r="A62" s="3">
        <v>55</v>
      </c>
      <c r="B62" s="194">
        <v>107</v>
      </c>
      <c r="C62" s="168">
        <v>9</v>
      </c>
      <c r="D62" s="7" t="s">
        <v>411</v>
      </c>
      <c r="E62" s="7" t="s">
        <v>412</v>
      </c>
      <c r="F62" s="7" t="s">
        <v>16</v>
      </c>
      <c r="G62" s="6">
        <v>8</v>
      </c>
      <c r="H62" s="8">
        <v>672</v>
      </c>
      <c r="I62" s="8">
        <v>672</v>
      </c>
      <c r="J62" s="9">
        <f>I62-H62</f>
        <v>0</v>
      </c>
      <c r="K62" s="10">
        <v>406</v>
      </c>
      <c r="L62" s="10">
        <v>189.59</v>
      </c>
      <c r="M62" s="192" t="s">
        <v>413</v>
      </c>
      <c r="N62" s="129">
        <f>I62*P62/100</f>
        <v>336000</v>
      </c>
      <c r="O62" s="129">
        <f>K62*300</f>
        <v>121800</v>
      </c>
      <c r="P62" s="129">
        <v>50000</v>
      </c>
      <c r="Q62" s="129">
        <f>N62+O62</f>
        <v>457800</v>
      </c>
    </row>
    <row r="63" spans="1:17" ht="20" customHeight="1" x14ac:dyDescent="0.2">
      <c r="A63" s="3">
        <v>56</v>
      </c>
      <c r="B63" s="6">
        <v>161</v>
      </c>
      <c r="C63" s="168">
        <v>9</v>
      </c>
      <c r="D63" s="7" t="s">
        <v>497</v>
      </c>
      <c r="E63" s="7" t="s">
        <v>498</v>
      </c>
      <c r="F63" s="7" t="s">
        <v>16</v>
      </c>
      <c r="G63" s="6">
        <v>16</v>
      </c>
      <c r="H63" s="8">
        <v>458</v>
      </c>
      <c r="I63" s="8">
        <v>458</v>
      </c>
      <c r="J63" s="9">
        <f>I63-H63</f>
        <v>0</v>
      </c>
      <c r="K63" s="10">
        <v>328</v>
      </c>
      <c r="L63" s="10">
        <v>147.97</v>
      </c>
      <c r="M63" s="192" t="s">
        <v>499</v>
      </c>
      <c r="N63" s="129">
        <f>I63*P63/100</f>
        <v>229000</v>
      </c>
      <c r="O63" s="129">
        <f>K63*300</f>
        <v>98400</v>
      </c>
      <c r="P63" s="129">
        <v>50000</v>
      </c>
      <c r="Q63" s="129">
        <f>N63+O63</f>
        <v>327400</v>
      </c>
    </row>
    <row r="64" spans="1:17" s="31" customFormat="1" ht="20" customHeight="1" x14ac:dyDescent="0.2">
      <c r="A64" s="3"/>
      <c r="B64" s="3"/>
      <c r="C64" s="167"/>
      <c r="D64" s="4"/>
      <c r="E64" s="4"/>
      <c r="F64" s="4"/>
      <c r="G64" s="3"/>
      <c r="H64" s="127">
        <f>SUM(H32:H63)</f>
        <v>21169</v>
      </c>
      <c r="I64" s="127">
        <f t="shared" ref="I64:Q64" si="4">SUM(I32:I63)</f>
        <v>20322</v>
      </c>
      <c r="J64" s="127">
        <f t="shared" si="4"/>
        <v>-847</v>
      </c>
      <c r="K64" s="127">
        <f t="shared" si="4"/>
        <v>10126</v>
      </c>
      <c r="L64" s="127">
        <f t="shared" si="4"/>
        <v>4080.8999999999996</v>
      </c>
      <c r="M64" s="127">
        <f t="shared" si="4"/>
        <v>0</v>
      </c>
      <c r="N64" s="127">
        <f t="shared" si="4"/>
        <v>10843300</v>
      </c>
      <c r="O64" s="127">
        <f t="shared" si="4"/>
        <v>3037800</v>
      </c>
      <c r="P64" s="127">
        <f t="shared" si="4"/>
        <v>1710000</v>
      </c>
      <c r="Q64" s="127">
        <f t="shared" si="4"/>
        <v>13881100</v>
      </c>
    </row>
    <row r="65" spans="1:17" ht="20" customHeight="1" x14ac:dyDescent="0.2">
      <c r="A65" s="3">
        <v>57</v>
      </c>
      <c r="B65" s="191">
        <v>3</v>
      </c>
      <c r="C65" s="168">
        <v>10</v>
      </c>
      <c r="D65" s="7" t="s">
        <v>84</v>
      </c>
      <c r="E65" s="7" t="s">
        <v>85</v>
      </c>
      <c r="F65" s="7" t="s">
        <v>16</v>
      </c>
      <c r="G65" s="6" t="s">
        <v>86</v>
      </c>
      <c r="H65" s="8">
        <v>487</v>
      </c>
      <c r="I65" s="8">
        <v>487</v>
      </c>
      <c r="J65" s="9">
        <f>I65-H65</f>
        <v>0</v>
      </c>
      <c r="K65" s="10">
        <v>220</v>
      </c>
      <c r="L65" s="10">
        <v>36.4</v>
      </c>
      <c r="M65" s="192" t="s">
        <v>87</v>
      </c>
      <c r="N65" s="129">
        <f>I65*P65/100</f>
        <v>243500</v>
      </c>
      <c r="O65" s="129">
        <f>K65*300</f>
        <v>66000</v>
      </c>
      <c r="P65" s="129">
        <v>50000</v>
      </c>
      <c r="Q65" s="129">
        <f>N65+O65</f>
        <v>309500</v>
      </c>
    </row>
    <row r="66" spans="1:17" ht="20" customHeight="1" x14ac:dyDescent="0.2">
      <c r="A66" s="3">
        <v>58</v>
      </c>
      <c r="B66" s="191">
        <v>4</v>
      </c>
      <c r="C66" s="168">
        <v>10</v>
      </c>
      <c r="D66" s="7" t="s">
        <v>88</v>
      </c>
      <c r="E66" s="7" t="s">
        <v>89</v>
      </c>
      <c r="F66" s="7" t="s">
        <v>16</v>
      </c>
      <c r="G66" s="6">
        <v>65</v>
      </c>
      <c r="H66" s="8">
        <v>600</v>
      </c>
      <c r="I66" s="10">
        <v>591</v>
      </c>
      <c r="J66" s="9">
        <f>I66-H66</f>
        <v>-9</v>
      </c>
      <c r="K66" s="10">
        <v>110</v>
      </c>
      <c r="L66" s="10">
        <v>11.2</v>
      </c>
      <c r="M66" s="192" t="s">
        <v>90</v>
      </c>
      <c r="N66" s="129">
        <f>I66*P66/100</f>
        <v>295500</v>
      </c>
      <c r="O66" s="129">
        <f>K66*300</f>
        <v>33000</v>
      </c>
      <c r="P66" s="129">
        <v>50000</v>
      </c>
      <c r="Q66" s="129">
        <f>N66+O66</f>
        <v>328500</v>
      </c>
    </row>
    <row r="67" spans="1:17" ht="20" customHeight="1" x14ac:dyDescent="0.2">
      <c r="A67" s="3">
        <v>59</v>
      </c>
      <c r="B67" s="191">
        <v>6</v>
      </c>
      <c r="C67" s="168">
        <v>10</v>
      </c>
      <c r="D67" s="7" t="s">
        <v>94</v>
      </c>
      <c r="E67" s="7" t="s">
        <v>95</v>
      </c>
      <c r="F67" s="7" t="s">
        <v>16</v>
      </c>
      <c r="G67" s="6">
        <v>69</v>
      </c>
      <c r="H67" s="8">
        <v>941</v>
      </c>
      <c r="I67" s="8">
        <v>941</v>
      </c>
      <c r="J67" s="9">
        <f>I67-H67</f>
        <v>0</v>
      </c>
      <c r="K67" s="10">
        <v>340</v>
      </c>
      <c r="L67" s="10">
        <v>130.68</v>
      </c>
      <c r="M67" s="192" t="s">
        <v>96</v>
      </c>
      <c r="N67" s="129">
        <f>I67*P67/100</f>
        <v>470500</v>
      </c>
      <c r="O67" s="129">
        <f>K67*300</f>
        <v>102000</v>
      </c>
      <c r="P67" s="129">
        <v>50000</v>
      </c>
      <c r="Q67" s="129">
        <f>N67+O67</f>
        <v>572500</v>
      </c>
    </row>
    <row r="68" spans="1:17" ht="20" customHeight="1" x14ac:dyDescent="0.2">
      <c r="A68" s="3">
        <v>60</v>
      </c>
      <c r="B68" s="191">
        <v>7</v>
      </c>
      <c r="C68" s="168">
        <v>10</v>
      </c>
      <c r="D68" s="7" t="s">
        <v>97</v>
      </c>
      <c r="E68" s="7" t="s">
        <v>98</v>
      </c>
      <c r="F68" s="7" t="s">
        <v>16</v>
      </c>
      <c r="G68" s="6">
        <v>71</v>
      </c>
      <c r="H68" s="8">
        <v>482</v>
      </c>
      <c r="I68" s="8">
        <v>482</v>
      </c>
      <c r="J68" s="9">
        <f>I68-H68</f>
        <v>0</v>
      </c>
      <c r="K68" s="10">
        <v>350</v>
      </c>
      <c r="L68" s="10">
        <v>164.96</v>
      </c>
      <c r="M68" s="192" t="s">
        <v>99</v>
      </c>
      <c r="N68" s="129">
        <f>I68*P68/100</f>
        <v>241000</v>
      </c>
      <c r="O68" s="129">
        <f>K68*300</f>
        <v>105000</v>
      </c>
      <c r="P68" s="129">
        <v>50000</v>
      </c>
      <c r="Q68" s="129">
        <f>N68+O68</f>
        <v>346000</v>
      </c>
    </row>
    <row r="69" spans="1:17" ht="20" customHeight="1" x14ac:dyDescent="0.2">
      <c r="A69" s="3">
        <v>61</v>
      </c>
      <c r="B69" s="191">
        <v>8</v>
      </c>
      <c r="C69" s="168">
        <v>10</v>
      </c>
      <c r="D69" s="7" t="s">
        <v>100</v>
      </c>
      <c r="E69" s="7" t="s">
        <v>101</v>
      </c>
      <c r="F69" s="7" t="s">
        <v>16</v>
      </c>
      <c r="G69" s="6">
        <v>73</v>
      </c>
      <c r="H69" s="8">
        <v>837</v>
      </c>
      <c r="I69" s="8">
        <v>837</v>
      </c>
      <c r="J69" s="9">
        <f>I69-H69</f>
        <v>0</v>
      </c>
      <c r="K69" s="10">
        <v>339</v>
      </c>
      <c r="L69" s="10">
        <v>197.16</v>
      </c>
      <c r="M69" s="192" t="s">
        <v>102</v>
      </c>
      <c r="N69" s="129">
        <f>I69*P69/100</f>
        <v>418500</v>
      </c>
      <c r="O69" s="129">
        <f>K69*300</f>
        <v>101700</v>
      </c>
      <c r="P69" s="129">
        <v>50000</v>
      </c>
      <c r="Q69" s="129">
        <f>N69+O69</f>
        <v>520200</v>
      </c>
    </row>
    <row r="70" spans="1:17" ht="20" customHeight="1" x14ac:dyDescent="0.2">
      <c r="A70" s="3">
        <v>62</v>
      </c>
      <c r="B70" s="191">
        <v>9</v>
      </c>
      <c r="C70" s="168">
        <v>10</v>
      </c>
      <c r="D70" s="7" t="s">
        <v>103</v>
      </c>
      <c r="E70" s="7" t="s">
        <v>104</v>
      </c>
      <c r="F70" s="7" t="s">
        <v>16</v>
      </c>
      <c r="G70" s="6" t="s">
        <v>105</v>
      </c>
      <c r="H70" s="8">
        <v>600</v>
      </c>
      <c r="I70" s="10">
        <v>582</v>
      </c>
      <c r="J70" s="9">
        <f>I70-H70</f>
        <v>-18</v>
      </c>
      <c r="K70" s="10">
        <v>353</v>
      </c>
      <c r="L70" s="10">
        <v>83.64</v>
      </c>
      <c r="M70" s="192" t="s">
        <v>106</v>
      </c>
      <c r="N70" s="129">
        <f>I70*P70/100</f>
        <v>291000</v>
      </c>
      <c r="O70" s="129">
        <f>K70*300</f>
        <v>105900</v>
      </c>
      <c r="P70" s="129">
        <v>50000</v>
      </c>
      <c r="Q70" s="129">
        <f>N70+O70</f>
        <v>396900</v>
      </c>
    </row>
    <row r="71" spans="1:17" ht="20" customHeight="1" x14ac:dyDescent="0.2">
      <c r="A71" s="3">
        <v>63</v>
      </c>
      <c r="B71" s="191">
        <v>10</v>
      </c>
      <c r="C71" s="168">
        <v>10</v>
      </c>
      <c r="D71" s="7" t="s">
        <v>107</v>
      </c>
      <c r="E71" s="7" t="s">
        <v>108</v>
      </c>
      <c r="F71" s="7" t="s">
        <v>16</v>
      </c>
      <c r="G71" s="6">
        <v>61</v>
      </c>
      <c r="H71" s="8">
        <v>600</v>
      </c>
      <c r="I71" s="10">
        <v>598</v>
      </c>
      <c r="J71" s="9">
        <f>I71-H71</f>
        <v>-2</v>
      </c>
      <c r="K71" s="10">
        <v>163</v>
      </c>
      <c r="L71" s="10">
        <v>73.41</v>
      </c>
      <c r="M71" s="192" t="s">
        <v>109</v>
      </c>
      <c r="N71" s="129">
        <f>I71*P71/100</f>
        <v>299000</v>
      </c>
      <c r="O71" s="129">
        <f>K71*300</f>
        <v>48900</v>
      </c>
      <c r="P71" s="129">
        <v>50000</v>
      </c>
      <c r="Q71" s="129">
        <f>N71+O71</f>
        <v>347900</v>
      </c>
    </row>
    <row r="72" spans="1:17" ht="20" customHeight="1" x14ac:dyDescent="0.2">
      <c r="A72" s="3">
        <v>64</v>
      </c>
      <c r="B72" s="191">
        <v>11</v>
      </c>
      <c r="C72" s="168">
        <v>10</v>
      </c>
      <c r="D72" s="7" t="s">
        <v>84</v>
      </c>
      <c r="E72" s="7" t="s">
        <v>110</v>
      </c>
      <c r="F72" s="7" t="s">
        <v>16</v>
      </c>
      <c r="G72" s="6">
        <v>75</v>
      </c>
      <c r="H72" s="8">
        <v>888</v>
      </c>
      <c r="I72" s="8">
        <v>888</v>
      </c>
      <c r="J72" s="9">
        <f>I72-H72</f>
        <v>0</v>
      </c>
      <c r="K72" s="10">
        <v>504</v>
      </c>
      <c r="L72" s="10">
        <v>228.01</v>
      </c>
      <c r="M72" s="192" t="s">
        <v>111</v>
      </c>
      <c r="N72" s="129">
        <f>I72*P72/100</f>
        <v>444000</v>
      </c>
      <c r="O72" s="129">
        <f>K72*300</f>
        <v>151200</v>
      </c>
      <c r="P72" s="129">
        <v>50000</v>
      </c>
      <c r="Q72" s="129">
        <f>N72+O72</f>
        <v>595200</v>
      </c>
    </row>
    <row r="73" spans="1:17" ht="20" customHeight="1" x14ac:dyDescent="0.2">
      <c r="A73" s="3">
        <v>65</v>
      </c>
      <c r="B73" s="191">
        <v>12</v>
      </c>
      <c r="C73" s="168">
        <v>10</v>
      </c>
      <c r="D73" s="7" t="s">
        <v>112</v>
      </c>
      <c r="E73" s="7" t="s">
        <v>113</v>
      </c>
      <c r="F73" s="7" t="s">
        <v>16</v>
      </c>
      <c r="G73" s="6">
        <v>59</v>
      </c>
      <c r="H73" s="8">
        <v>600</v>
      </c>
      <c r="I73" s="8">
        <v>600</v>
      </c>
      <c r="J73" s="9">
        <f>I73-H73</f>
        <v>0</v>
      </c>
      <c r="K73" s="10">
        <v>244</v>
      </c>
      <c r="L73" s="10">
        <v>82.69</v>
      </c>
      <c r="M73" s="192" t="s">
        <v>114</v>
      </c>
      <c r="N73" s="129">
        <f>I73*P73/100</f>
        <v>300000</v>
      </c>
      <c r="O73" s="129">
        <f>K73*300</f>
        <v>73200</v>
      </c>
      <c r="P73" s="129">
        <v>50000</v>
      </c>
      <c r="Q73" s="129">
        <f>N73+O73</f>
        <v>373200</v>
      </c>
    </row>
    <row r="74" spans="1:17" ht="20" customHeight="1" x14ac:dyDescent="0.2">
      <c r="A74" s="3">
        <v>66</v>
      </c>
      <c r="B74" s="191">
        <v>13</v>
      </c>
      <c r="C74" s="168">
        <v>10</v>
      </c>
      <c r="D74" s="7" t="s">
        <v>115</v>
      </c>
      <c r="E74" s="7" t="s">
        <v>116</v>
      </c>
      <c r="F74" s="7" t="s">
        <v>16</v>
      </c>
      <c r="G74" s="6">
        <v>77</v>
      </c>
      <c r="H74" s="8">
        <v>645</v>
      </c>
      <c r="I74" s="8">
        <v>645</v>
      </c>
      <c r="J74" s="9">
        <f>I74-H74</f>
        <v>0</v>
      </c>
      <c r="K74" s="10">
        <v>218</v>
      </c>
      <c r="L74" s="10">
        <v>60.36</v>
      </c>
      <c r="M74" s="192" t="s">
        <v>117</v>
      </c>
      <c r="N74" s="129">
        <f>I74*P74/100</f>
        <v>322500</v>
      </c>
      <c r="O74" s="129">
        <f>K74*300</f>
        <v>65400</v>
      </c>
      <c r="P74" s="129">
        <v>50000</v>
      </c>
      <c r="Q74" s="129">
        <f>N74+O74</f>
        <v>387900</v>
      </c>
    </row>
    <row r="75" spans="1:17" ht="20" customHeight="1" x14ac:dyDescent="0.2">
      <c r="A75" s="3">
        <v>67</v>
      </c>
      <c r="B75" s="191">
        <v>14</v>
      </c>
      <c r="C75" s="168">
        <v>10</v>
      </c>
      <c r="D75" s="7" t="s">
        <v>118</v>
      </c>
      <c r="E75" s="7" t="s">
        <v>119</v>
      </c>
      <c r="F75" s="7" t="s">
        <v>16</v>
      </c>
      <c r="G75" s="6">
        <v>57</v>
      </c>
      <c r="H75" s="8">
        <v>575</v>
      </c>
      <c r="I75" s="8">
        <v>575</v>
      </c>
      <c r="J75" s="9">
        <f>I75-H75</f>
        <v>0</v>
      </c>
      <c r="K75" s="10">
        <v>302</v>
      </c>
      <c r="L75" s="10">
        <v>115.79</v>
      </c>
      <c r="M75" s="192" t="s">
        <v>120</v>
      </c>
      <c r="N75" s="129">
        <f>I75*P75/100</f>
        <v>287500</v>
      </c>
      <c r="O75" s="129">
        <f>K75*300</f>
        <v>90600</v>
      </c>
      <c r="P75" s="129">
        <v>50000</v>
      </c>
      <c r="Q75" s="129">
        <f>N75+O75</f>
        <v>378100</v>
      </c>
    </row>
    <row r="76" spans="1:17" ht="20" customHeight="1" x14ac:dyDescent="0.2">
      <c r="A76" s="3">
        <v>68</v>
      </c>
      <c r="B76" s="191">
        <v>15</v>
      </c>
      <c r="C76" s="168">
        <v>10</v>
      </c>
      <c r="D76" s="7" t="s">
        <v>121</v>
      </c>
      <c r="E76" s="7" t="s">
        <v>122</v>
      </c>
      <c r="F76" s="7" t="s">
        <v>16</v>
      </c>
      <c r="G76" s="6">
        <v>55</v>
      </c>
      <c r="H76" s="8">
        <v>628</v>
      </c>
      <c r="I76" s="8">
        <v>628</v>
      </c>
      <c r="J76" s="9">
        <f>I76-H76</f>
        <v>0</v>
      </c>
      <c r="K76" s="10">
        <v>442</v>
      </c>
      <c r="L76" s="10">
        <v>74.77</v>
      </c>
      <c r="M76" s="192" t="s">
        <v>123</v>
      </c>
      <c r="N76" s="129">
        <f>I76*P76/100</f>
        <v>314000</v>
      </c>
      <c r="O76" s="129">
        <f>K76*300</f>
        <v>132600</v>
      </c>
      <c r="P76" s="129">
        <v>50000</v>
      </c>
      <c r="Q76" s="129">
        <f>N76+O76</f>
        <v>446600</v>
      </c>
    </row>
    <row r="77" spans="1:17" ht="20" customHeight="1" x14ac:dyDescent="0.2">
      <c r="A77" s="3">
        <v>69</v>
      </c>
      <c r="B77" s="191">
        <v>16</v>
      </c>
      <c r="C77" s="168">
        <v>10</v>
      </c>
      <c r="D77" s="7" t="s">
        <v>124</v>
      </c>
      <c r="E77" s="7" t="s">
        <v>125</v>
      </c>
      <c r="F77" s="7" t="s">
        <v>16</v>
      </c>
      <c r="G77" s="6">
        <v>79</v>
      </c>
      <c r="H77" s="8">
        <v>600</v>
      </c>
      <c r="I77" s="10">
        <v>534</v>
      </c>
      <c r="J77" s="9">
        <f>I77-H77</f>
        <v>-66</v>
      </c>
      <c r="K77" s="10">
        <v>254</v>
      </c>
      <c r="L77" s="10">
        <v>100.3</v>
      </c>
      <c r="M77" s="192" t="s">
        <v>126</v>
      </c>
      <c r="N77" s="129">
        <f>I77*P77/100</f>
        <v>267000</v>
      </c>
      <c r="O77" s="129">
        <f>K77*300</f>
        <v>76200</v>
      </c>
      <c r="P77" s="129">
        <v>50000</v>
      </c>
      <c r="Q77" s="129">
        <f>N77+O77</f>
        <v>343200</v>
      </c>
    </row>
    <row r="78" spans="1:17" ht="20" customHeight="1" x14ac:dyDescent="0.2">
      <c r="A78" s="3">
        <v>70</v>
      </c>
      <c r="B78" s="191">
        <v>17</v>
      </c>
      <c r="C78" s="168">
        <v>10</v>
      </c>
      <c r="D78" s="7" t="s">
        <v>127</v>
      </c>
      <c r="E78" s="7" t="s">
        <v>128</v>
      </c>
      <c r="F78" s="7" t="s">
        <v>129</v>
      </c>
      <c r="G78" s="6">
        <v>51</v>
      </c>
      <c r="H78" s="8">
        <v>600</v>
      </c>
      <c r="I78" s="10">
        <v>611</v>
      </c>
      <c r="J78" s="9">
        <f>I78-H78</f>
        <v>11</v>
      </c>
      <c r="K78" s="10">
        <v>452</v>
      </c>
      <c r="L78" s="10">
        <v>190.55</v>
      </c>
      <c r="M78" s="192" t="s">
        <v>130</v>
      </c>
      <c r="N78" s="129">
        <f>I78*P78/100</f>
        <v>305500</v>
      </c>
      <c r="O78" s="129">
        <f>K78*300</f>
        <v>135600</v>
      </c>
      <c r="P78" s="129">
        <v>50000</v>
      </c>
      <c r="Q78" s="129">
        <f>N78+O78</f>
        <v>441100</v>
      </c>
    </row>
    <row r="79" spans="1:17" ht="20" customHeight="1" x14ac:dyDescent="0.2">
      <c r="A79" s="3">
        <v>71</v>
      </c>
      <c r="B79" s="191">
        <v>18</v>
      </c>
      <c r="C79" s="168">
        <v>10</v>
      </c>
      <c r="D79" s="7" t="s">
        <v>131</v>
      </c>
      <c r="E79" s="7" t="s">
        <v>132</v>
      </c>
      <c r="F79" s="7" t="s">
        <v>16</v>
      </c>
      <c r="G79" s="6">
        <v>53</v>
      </c>
      <c r="H79" s="8">
        <v>600</v>
      </c>
      <c r="I79" s="8">
        <v>600</v>
      </c>
      <c r="J79" s="9">
        <f>I79-H79</f>
        <v>0</v>
      </c>
      <c r="K79" s="10">
        <v>395</v>
      </c>
      <c r="L79" s="10">
        <v>167.02</v>
      </c>
      <c r="M79" s="192" t="s">
        <v>133</v>
      </c>
      <c r="N79" s="129">
        <f>I79*P79/100</f>
        <v>300000</v>
      </c>
      <c r="O79" s="129">
        <f>K79*300</f>
        <v>118500</v>
      </c>
      <c r="P79" s="129">
        <v>50000</v>
      </c>
      <c r="Q79" s="129">
        <f>N79+O79</f>
        <v>418500</v>
      </c>
    </row>
    <row r="80" spans="1:17" ht="20" customHeight="1" x14ac:dyDescent="0.2">
      <c r="A80" s="3">
        <v>72</v>
      </c>
      <c r="B80" s="191">
        <v>20</v>
      </c>
      <c r="C80" s="168">
        <v>10</v>
      </c>
      <c r="D80" s="7" t="s">
        <v>137</v>
      </c>
      <c r="E80" s="7" t="s">
        <v>138</v>
      </c>
      <c r="F80" s="7" t="s">
        <v>129</v>
      </c>
      <c r="G80" s="6">
        <v>83</v>
      </c>
      <c r="H80" s="8">
        <v>600</v>
      </c>
      <c r="I80" s="8">
        <v>600</v>
      </c>
      <c r="J80" s="9">
        <f>I80-H80</f>
        <v>0</v>
      </c>
      <c r="K80" s="10">
        <v>360</v>
      </c>
      <c r="L80" s="10">
        <v>138.27000000000001</v>
      </c>
      <c r="M80" s="192" t="s">
        <v>139</v>
      </c>
      <c r="N80" s="129">
        <f>I80*P80/100</f>
        <v>300000</v>
      </c>
      <c r="O80" s="129">
        <f>K80*300</f>
        <v>108000</v>
      </c>
      <c r="P80" s="129">
        <v>50000</v>
      </c>
      <c r="Q80" s="129">
        <f>N80+O80</f>
        <v>408000</v>
      </c>
    </row>
    <row r="81" spans="1:17" ht="20" customHeight="1" x14ac:dyDescent="0.2">
      <c r="A81" s="3">
        <v>73</v>
      </c>
      <c r="B81" s="191">
        <v>21</v>
      </c>
      <c r="C81" s="168">
        <v>10</v>
      </c>
      <c r="D81" s="195" t="s">
        <v>140</v>
      </c>
      <c r="E81" s="195" t="s">
        <v>141</v>
      </c>
      <c r="F81" s="7" t="s">
        <v>16</v>
      </c>
      <c r="G81" s="6">
        <v>49</v>
      </c>
      <c r="H81" s="8">
        <v>621</v>
      </c>
      <c r="I81" s="8">
        <v>621</v>
      </c>
      <c r="J81" s="9">
        <f>I81-H81</f>
        <v>0</v>
      </c>
      <c r="K81" s="10">
        <v>424</v>
      </c>
      <c r="L81" s="10">
        <v>165.41</v>
      </c>
      <c r="M81" s="192" t="s">
        <v>142</v>
      </c>
      <c r="N81" s="129">
        <f>I81*P81/100</f>
        <v>310500</v>
      </c>
      <c r="O81" s="129">
        <f>K81*300</f>
        <v>127200</v>
      </c>
      <c r="P81" s="129">
        <v>50000</v>
      </c>
      <c r="Q81" s="129">
        <f>N81+O81</f>
        <v>437700</v>
      </c>
    </row>
    <row r="82" spans="1:17" ht="20" customHeight="1" x14ac:dyDescent="0.2">
      <c r="A82" s="3">
        <v>74</v>
      </c>
      <c r="B82" s="191">
        <v>22</v>
      </c>
      <c r="C82" s="168">
        <v>10</v>
      </c>
      <c r="D82" s="195" t="s">
        <v>143</v>
      </c>
      <c r="E82" s="195" t="s">
        <v>144</v>
      </c>
      <c r="F82" s="7" t="s">
        <v>16</v>
      </c>
      <c r="G82" s="6">
        <v>43</v>
      </c>
      <c r="H82" s="8">
        <v>552</v>
      </c>
      <c r="I82" s="8">
        <v>552</v>
      </c>
      <c r="J82" s="9">
        <f>I82-H82</f>
        <v>0</v>
      </c>
      <c r="K82" s="10">
        <v>237</v>
      </c>
      <c r="L82" s="10">
        <v>148.84</v>
      </c>
      <c r="M82" s="192" t="s">
        <v>145</v>
      </c>
      <c r="N82" s="129">
        <f>I82*P82/100</f>
        <v>276000</v>
      </c>
      <c r="O82" s="129">
        <f>K82*300</f>
        <v>71100</v>
      </c>
      <c r="P82" s="129">
        <v>50000</v>
      </c>
      <c r="Q82" s="129">
        <f>N82+O82</f>
        <v>347100</v>
      </c>
    </row>
    <row r="83" spans="1:17" ht="20" customHeight="1" x14ac:dyDescent="0.2">
      <c r="A83" s="3">
        <v>75</v>
      </c>
      <c r="B83" s="191">
        <v>23</v>
      </c>
      <c r="C83" s="168">
        <v>10</v>
      </c>
      <c r="D83" s="7" t="s">
        <v>146</v>
      </c>
      <c r="E83" s="7" t="s">
        <v>147</v>
      </c>
      <c r="F83" s="7" t="s">
        <v>16</v>
      </c>
      <c r="G83" s="6" t="s">
        <v>148</v>
      </c>
      <c r="H83" s="8">
        <v>344</v>
      </c>
      <c r="I83" s="8">
        <v>344</v>
      </c>
      <c r="J83" s="9">
        <f>I83-H83</f>
        <v>0</v>
      </c>
      <c r="K83" s="10">
        <v>216</v>
      </c>
      <c r="L83" s="10">
        <v>29.47</v>
      </c>
      <c r="M83" s="192" t="s">
        <v>149</v>
      </c>
      <c r="N83" s="129">
        <f>I83*P83/100</f>
        <v>172000</v>
      </c>
      <c r="O83" s="129">
        <f>K83*300</f>
        <v>64800</v>
      </c>
      <c r="P83" s="129">
        <v>50000</v>
      </c>
      <c r="Q83" s="129">
        <f>N83+O83</f>
        <v>236800</v>
      </c>
    </row>
    <row r="84" spans="1:17" ht="20" customHeight="1" x14ac:dyDescent="0.2">
      <c r="A84" s="3">
        <v>76</v>
      </c>
      <c r="B84" s="191">
        <v>24</v>
      </c>
      <c r="C84" s="168">
        <v>10</v>
      </c>
      <c r="D84" s="7" t="s">
        <v>150</v>
      </c>
      <c r="E84" s="7" t="s">
        <v>151</v>
      </c>
      <c r="F84" s="7" t="s">
        <v>16</v>
      </c>
      <c r="G84" s="6">
        <v>45</v>
      </c>
      <c r="H84" s="8">
        <v>1159</v>
      </c>
      <c r="I84" s="8">
        <v>1159</v>
      </c>
      <c r="J84" s="9">
        <f>I84-H84</f>
        <v>0</v>
      </c>
      <c r="K84" s="10">
        <v>147</v>
      </c>
      <c r="L84" s="10">
        <v>88</v>
      </c>
      <c r="M84" s="192" t="s">
        <v>152</v>
      </c>
      <c r="N84" s="129">
        <f>I84*P84/100</f>
        <v>579500</v>
      </c>
      <c r="O84" s="129">
        <f>K84*300</f>
        <v>44100</v>
      </c>
      <c r="P84" s="129">
        <v>50000</v>
      </c>
      <c r="Q84" s="129">
        <f>N84+O84</f>
        <v>623600</v>
      </c>
    </row>
    <row r="85" spans="1:17" ht="20" customHeight="1" x14ac:dyDescent="0.2">
      <c r="A85" s="3">
        <v>77</v>
      </c>
      <c r="B85" s="191">
        <v>25</v>
      </c>
      <c r="C85" s="168">
        <v>10</v>
      </c>
      <c r="D85" s="7" t="s">
        <v>153</v>
      </c>
      <c r="E85" s="7" t="s">
        <v>154</v>
      </c>
      <c r="F85" s="7" t="s">
        <v>16</v>
      </c>
      <c r="G85" s="6">
        <v>41</v>
      </c>
      <c r="H85" s="8">
        <v>600</v>
      </c>
      <c r="I85" s="8">
        <v>600</v>
      </c>
      <c r="J85" s="9">
        <f>I85-H85</f>
        <v>0</v>
      </c>
      <c r="K85" s="10">
        <v>298</v>
      </c>
      <c r="L85" s="10">
        <v>83.78</v>
      </c>
      <c r="M85" s="192" t="s">
        <v>155</v>
      </c>
      <c r="N85" s="129">
        <f>I85*P85/100</f>
        <v>300000</v>
      </c>
      <c r="O85" s="129">
        <f>K85*300</f>
        <v>89400</v>
      </c>
      <c r="P85" s="129">
        <v>50000</v>
      </c>
      <c r="Q85" s="129">
        <f>N85+O85</f>
        <v>389400</v>
      </c>
    </row>
    <row r="86" spans="1:17" ht="20" customHeight="1" x14ac:dyDescent="0.2">
      <c r="A86" s="3">
        <v>78</v>
      </c>
      <c r="B86" s="196">
        <v>26</v>
      </c>
      <c r="C86" s="168">
        <v>10</v>
      </c>
      <c r="D86" s="7" t="s">
        <v>156</v>
      </c>
      <c r="E86" s="7" t="s">
        <v>157</v>
      </c>
      <c r="F86" s="7" t="s">
        <v>16</v>
      </c>
      <c r="G86" s="6">
        <v>66</v>
      </c>
      <c r="H86" s="8">
        <v>970</v>
      </c>
      <c r="I86" s="10">
        <v>1203</v>
      </c>
      <c r="J86" s="9">
        <f>I86-H86</f>
        <v>233</v>
      </c>
      <c r="K86" s="10">
        <v>330</v>
      </c>
      <c r="L86" s="10">
        <v>195.23</v>
      </c>
      <c r="M86" s="192" t="s">
        <v>158</v>
      </c>
      <c r="N86" s="129">
        <f>I86*P86/100</f>
        <v>601500</v>
      </c>
      <c r="O86" s="129">
        <f>K86*300</f>
        <v>99000</v>
      </c>
      <c r="P86" s="129">
        <v>50000</v>
      </c>
      <c r="Q86" s="129">
        <f>N86+O86</f>
        <v>700500</v>
      </c>
    </row>
    <row r="87" spans="1:17" ht="20" customHeight="1" x14ac:dyDescent="0.2">
      <c r="A87" s="3">
        <v>79</v>
      </c>
      <c r="B87" s="196">
        <v>27</v>
      </c>
      <c r="C87" s="168">
        <v>10</v>
      </c>
      <c r="D87" s="7" t="s">
        <v>159</v>
      </c>
      <c r="E87" s="7" t="s">
        <v>160</v>
      </c>
      <c r="F87" s="7" t="s">
        <v>16</v>
      </c>
      <c r="G87" s="6">
        <v>64</v>
      </c>
      <c r="H87" s="8">
        <v>1290</v>
      </c>
      <c r="I87" s="8">
        <v>1290</v>
      </c>
      <c r="J87" s="9">
        <f>I87-H87</f>
        <v>0</v>
      </c>
      <c r="K87" s="10">
        <v>628</v>
      </c>
      <c r="L87" s="10">
        <v>223.55</v>
      </c>
      <c r="M87" s="192" t="s">
        <v>161</v>
      </c>
      <c r="N87" s="129">
        <f>I87*P87/100</f>
        <v>645000</v>
      </c>
      <c r="O87" s="129">
        <f>K87*300</f>
        <v>188400</v>
      </c>
      <c r="P87" s="129">
        <v>50000</v>
      </c>
      <c r="Q87" s="129">
        <f>N87+O87</f>
        <v>833400</v>
      </c>
    </row>
    <row r="88" spans="1:17" ht="20" customHeight="1" x14ac:dyDescent="0.2">
      <c r="A88" s="3">
        <v>80</v>
      </c>
      <c r="B88" s="196">
        <v>28</v>
      </c>
      <c r="C88" s="168">
        <v>10</v>
      </c>
      <c r="D88" s="7" t="s">
        <v>162</v>
      </c>
      <c r="E88" s="7" t="s">
        <v>163</v>
      </c>
      <c r="F88" s="7" t="s">
        <v>16</v>
      </c>
      <c r="G88" s="6" t="s">
        <v>164</v>
      </c>
      <c r="H88" s="8">
        <v>644</v>
      </c>
      <c r="I88" s="10">
        <v>644</v>
      </c>
      <c r="J88" s="9">
        <f>I88-H88</f>
        <v>0</v>
      </c>
      <c r="K88" s="10">
        <v>213</v>
      </c>
      <c r="L88" s="10">
        <v>70.739999999999995</v>
      </c>
      <c r="M88" s="192" t="s">
        <v>165</v>
      </c>
      <c r="N88" s="129">
        <f>I88*P88/100</f>
        <v>322000</v>
      </c>
      <c r="O88" s="129">
        <f>K88*300</f>
        <v>63900</v>
      </c>
      <c r="P88" s="129">
        <v>50000</v>
      </c>
      <c r="Q88" s="129">
        <f>N88+O88</f>
        <v>385900</v>
      </c>
    </row>
    <row r="89" spans="1:17" ht="20" customHeight="1" x14ac:dyDescent="0.2">
      <c r="A89" s="3">
        <v>81</v>
      </c>
      <c r="B89" s="196">
        <v>29</v>
      </c>
      <c r="C89" s="168">
        <v>10</v>
      </c>
      <c r="D89" s="7" t="s">
        <v>166</v>
      </c>
      <c r="E89" s="7" t="s">
        <v>167</v>
      </c>
      <c r="F89" s="7" t="s">
        <v>16</v>
      </c>
      <c r="G89" s="6" t="s">
        <v>168</v>
      </c>
      <c r="H89" s="8">
        <v>538</v>
      </c>
      <c r="I89" s="8">
        <v>538</v>
      </c>
      <c r="J89" s="9">
        <f>I89-H89</f>
        <v>0</v>
      </c>
      <c r="K89" s="10">
        <v>327</v>
      </c>
      <c r="L89" s="10">
        <v>123.76</v>
      </c>
      <c r="M89" s="192" t="s">
        <v>169</v>
      </c>
      <c r="N89" s="129">
        <f>I89*P89/100</f>
        <v>269000</v>
      </c>
      <c r="O89" s="129">
        <f>K89*300</f>
        <v>98100</v>
      </c>
      <c r="P89" s="129">
        <v>50000</v>
      </c>
      <c r="Q89" s="129">
        <f>N89+O89</f>
        <v>367100</v>
      </c>
    </row>
    <row r="90" spans="1:17" ht="20" customHeight="1" x14ac:dyDescent="0.2">
      <c r="A90" s="3">
        <v>82</v>
      </c>
      <c r="B90" s="196">
        <v>30</v>
      </c>
      <c r="C90" s="168">
        <v>10</v>
      </c>
      <c r="D90" s="7" t="s">
        <v>170</v>
      </c>
      <c r="E90" s="7" t="s">
        <v>171</v>
      </c>
      <c r="F90" s="7" t="s">
        <v>16</v>
      </c>
      <c r="G90" s="6" t="s">
        <v>172</v>
      </c>
      <c r="H90" s="8">
        <v>1100</v>
      </c>
      <c r="I90" s="10">
        <v>700</v>
      </c>
      <c r="J90" s="9">
        <f>I90-H90</f>
        <v>-400</v>
      </c>
      <c r="K90" s="10">
        <v>83.01</v>
      </c>
      <c r="L90" s="10">
        <v>83.01</v>
      </c>
      <c r="M90" s="192" t="s">
        <v>173</v>
      </c>
      <c r="N90" s="129">
        <f>I90*P90/100</f>
        <v>350000</v>
      </c>
      <c r="O90" s="129">
        <f>K90*300</f>
        <v>24903</v>
      </c>
      <c r="P90" s="129">
        <v>50000</v>
      </c>
      <c r="Q90" s="129">
        <f>N90+O90</f>
        <v>374903</v>
      </c>
    </row>
    <row r="91" spans="1:17" ht="20" customHeight="1" x14ac:dyDescent="0.2">
      <c r="A91" s="3">
        <v>83</v>
      </c>
      <c r="B91" s="196">
        <v>32</v>
      </c>
      <c r="C91" s="168">
        <v>10</v>
      </c>
      <c r="D91" s="7" t="s">
        <v>177</v>
      </c>
      <c r="E91" s="7" t="s">
        <v>178</v>
      </c>
      <c r="F91" s="7" t="s">
        <v>16</v>
      </c>
      <c r="G91" s="6">
        <v>60</v>
      </c>
      <c r="H91" s="8">
        <v>1299</v>
      </c>
      <c r="I91" s="9">
        <f>H91</f>
        <v>1299</v>
      </c>
      <c r="J91" s="9">
        <f>I91-H91</f>
        <v>0</v>
      </c>
      <c r="K91" s="10">
        <v>475</v>
      </c>
      <c r="L91" s="10">
        <v>169.5</v>
      </c>
      <c r="M91" s="192" t="s">
        <v>169</v>
      </c>
      <c r="N91" s="129">
        <f>I91*P91/100</f>
        <v>649500</v>
      </c>
      <c r="O91" s="129">
        <f>K91*300</f>
        <v>142500</v>
      </c>
      <c r="P91" s="129">
        <v>50000</v>
      </c>
      <c r="Q91" s="129">
        <f>N91+O91</f>
        <v>792000</v>
      </c>
    </row>
    <row r="92" spans="1:17" ht="20" customHeight="1" x14ac:dyDescent="0.2">
      <c r="A92" s="3">
        <v>84</v>
      </c>
      <c r="B92" s="196">
        <v>34</v>
      </c>
      <c r="C92" s="168">
        <v>10</v>
      </c>
      <c r="D92" s="7" t="s">
        <v>182</v>
      </c>
      <c r="E92" s="7" t="s">
        <v>183</v>
      </c>
      <c r="F92" s="7" t="s">
        <v>16</v>
      </c>
      <c r="G92" s="6">
        <v>54</v>
      </c>
      <c r="H92" s="8">
        <v>759</v>
      </c>
      <c r="I92" s="8">
        <v>759</v>
      </c>
      <c r="J92" s="9">
        <f>I92-H92</f>
        <v>0</v>
      </c>
      <c r="K92" s="10">
        <v>393</v>
      </c>
      <c r="L92" s="10">
        <v>231.38</v>
      </c>
      <c r="M92" s="192" t="s">
        <v>184</v>
      </c>
      <c r="N92" s="129">
        <f>I92*P92/100</f>
        <v>379500</v>
      </c>
      <c r="O92" s="129">
        <f>K92*300</f>
        <v>117900</v>
      </c>
      <c r="P92" s="129">
        <v>50000</v>
      </c>
      <c r="Q92" s="129">
        <f>N92+O92</f>
        <v>497400</v>
      </c>
    </row>
    <row r="93" spans="1:17" ht="20" customHeight="1" x14ac:dyDescent="0.2">
      <c r="A93" s="3">
        <v>85</v>
      </c>
      <c r="B93" s="191">
        <v>52</v>
      </c>
      <c r="C93" s="168">
        <v>10</v>
      </c>
      <c r="D93" s="7" t="s">
        <v>237</v>
      </c>
      <c r="E93" s="7" t="s">
        <v>238</v>
      </c>
      <c r="F93" s="7" t="s">
        <v>239</v>
      </c>
      <c r="G93" s="6">
        <v>31</v>
      </c>
      <c r="H93" s="8">
        <v>983</v>
      </c>
      <c r="I93" s="10">
        <v>843</v>
      </c>
      <c r="J93" s="9">
        <f>I93-H93</f>
        <v>-140</v>
      </c>
      <c r="K93" s="10">
        <v>317</v>
      </c>
      <c r="L93" s="10">
        <v>103</v>
      </c>
      <c r="M93" s="192" t="s">
        <v>240</v>
      </c>
      <c r="N93" s="129">
        <f>I93*P93/100</f>
        <v>421500</v>
      </c>
      <c r="O93" s="129">
        <f>K93*300</f>
        <v>95100</v>
      </c>
      <c r="P93" s="129">
        <v>50000</v>
      </c>
      <c r="Q93" s="129">
        <f>N93+O93</f>
        <v>516600</v>
      </c>
    </row>
    <row r="94" spans="1:17" ht="20" customHeight="1" x14ac:dyDescent="0.2">
      <c r="A94" s="3">
        <v>86</v>
      </c>
      <c r="B94" s="191">
        <v>53</v>
      </c>
      <c r="C94" s="168">
        <v>10</v>
      </c>
      <c r="D94" s="7" t="s">
        <v>241</v>
      </c>
      <c r="E94" s="7" t="s">
        <v>242</v>
      </c>
      <c r="F94" s="7" t="s">
        <v>129</v>
      </c>
      <c r="G94" s="6">
        <v>85</v>
      </c>
      <c r="H94" s="8">
        <v>600</v>
      </c>
      <c r="I94" s="8">
        <v>600</v>
      </c>
      <c r="J94" s="9">
        <f>I94-H94</f>
        <v>0</v>
      </c>
      <c r="K94" s="10">
        <v>203</v>
      </c>
      <c r="L94" s="10">
        <v>82.94</v>
      </c>
      <c r="M94" s="192" t="s">
        <v>243</v>
      </c>
      <c r="N94" s="129">
        <f>I94*P94/100</f>
        <v>300000</v>
      </c>
      <c r="O94" s="129">
        <f>K94*300</f>
        <v>60900</v>
      </c>
      <c r="P94" s="129">
        <v>50000</v>
      </c>
      <c r="Q94" s="129">
        <f>N94+O94</f>
        <v>360900</v>
      </c>
    </row>
    <row r="95" spans="1:17" ht="20" customHeight="1" x14ac:dyDescent="0.2">
      <c r="A95" s="3">
        <v>87</v>
      </c>
      <c r="B95" s="191">
        <v>59</v>
      </c>
      <c r="C95" s="168">
        <v>10</v>
      </c>
      <c r="D95" s="7" t="s">
        <v>258</v>
      </c>
      <c r="E95" s="7" t="s">
        <v>259</v>
      </c>
      <c r="F95" s="7" t="s">
        <v>16</v>
      </c>
      <c r="G95" s="6">
        <v>91</v>
      </c>
      <c r="H95" s="8">
        <v>500</v>
      </c>
      <c r="I95" s="8">
        <v>500</v>
      </c>
      <c r="J95" s="9">
        <f>I95-H95</f>
        <v>0</v>
      </c>
      <c r="K95" s="10">
        <v>124</v>
      </c>
      <c r="L95" s="10">
        <v>21.86</v>
      </c>
      <c r="M95" s="192" t="s">
        <v>260</v>
      </c>
      <c r="N95" s="129">
        <f>I95*P95/100</f>
        <v>250000</v>
      </c>
      <c r="O95" s="129">
        <f>K95*300</f>
        <v>37200</v>
      </c>
      <c r="P95" s="129">
        <v>50000</v>
      </c>
      <c r="Q95" s="129">
        <f>N95+O95</f>
        <v>287200</v>
      </c>
    </row>
    <row r="96" spans="1:17" ht="20" customHeight="1" x14ac:dyDescent="0.2">
      <c r="A96" s="3">
        <v>88</v>
      </c>
      <c r="B96" s="191">
        <v>64</v>
      </c>
      <c r="C96" s="168">
        <v>10</v>
      </c>
      <c r="D96" s="7" t="s">
        <v>275</v>
      </c>
      <c r="E96" s="7" t="s">
        <v>276</v>
      </c>
      <c r="F96" s="7" t="s">
        <v>277</v>
      </c>
      <c r="G96" s="6">
        <v>93</v>
      </c>
      <c r="H96" s="8">
        <v>624</v>
      </c>
      <c r="I96" s="8">
        <v>624</v>
      </c>
      <c r="J96" s="9">
        <f>I96-H96</f>
        <v>0</v>
      </c>
      <c r="K96" s="10">
        <v>365</v>
      </c>
      <c r="L96" s="10">
        <v>193.4</v>
      </c>
      <c r="M96" s="192" t="s">
        <v>278</v>
      </c>
      <c r="N96" s="129">
        <f>I96*P96/100</f>
        <v>312000</v>
      </c>
      <c r="O96" s="129">
        <f>K96*300</f>
        <v>109500</v>
      </c>
      <c r="P96" s="129">
        <v>50000</v>
      </c>
      <c r="Q96" s="129">
        <f>N96+O96</f>
        <v>421500</v>
      </c>
    </row>
    <row r="97" spans="1:17" ht="20" customHeight="1" x14ac:dyDescent="0.2">
      <c r="A97" s="3">
        <v>89</v>
      </c>
      <c r="B97" s="191">
        <v>65</v>
      </c>
      <c r="C97" s="168">
        <v>10</v>
      </c>
      <c r="D97" s="7" t="s">
        <v>279</v>
      </c>
      <c r="E97" s="7" t="s">
        <v>280</v>
      </c>
      <c r="F97" s="7" t="s">
        <v>16</v>
      </c>
      <c r="G97" s="6">
        <v>89</v>
      </c>
      <c r="H97" s="8">
        <v>900</v>
      </c>
      <c r="I97" s="8">
        <v>900</v>
      </c>
      <c r="J97" s="9">
        <f>I97-H97</f>
        <v>0</v>
      </c>
      <c r="K97" s="10">
        <v>340</v>
      </c>
      <c r="L97" s="10">
        <v>121.25</v>
      </c>
      <c r="M97" s="192" t="s">
        <v>281</v>
      </c>
      <c r="N97" s="129">
        <f>I97*P97/100</f>
        <v>450000</v>
      </c>
      <c r="O97" s="129">
        <f>K97*300</f>
        <v>102000</v>
      </c>
      <c r="P97" s="129">
        <v>50000</v>
      </c>
      <c r="Q97" s="129">
        <f>N97+O97</f>
        <v>552000</v>
      </c>
    </row>
    <row r="98" spans="1:17" ht="20" customHeight="1" x14ac:dyDescent="0.2">
      <c r="A98" s="3">
        <v>90</v>
      </c>
      <c r="B98" s="191">
        <v>67</v>
      </c>
      <c r="C98" s="168">
        <v>10</v>
      </c>
      <c r="D98" s="7" t="s">
        <v>285</v>
      </c>
      <c r="E98" s="7" t="s">
        <v>286</v>
      </c>
      <c r="F98" s="7" t="s">
        <v>16</v>
      </c>
      <c r="G98" s="6">
        <v>95</v>
      </c>
      <c r="H98" s="8">
        <v>830</v>
      </c>
      <c r="I98" s="10">
        <v>877</v>
      </c>
      <c r="J98" s="9">
        <f>I98-H98</f>
        <v>47</v>
      </c>
      <c r="K98" s="10">
        <v>274</v>
      </c>
      <c r="L98" s="10">
        <v>70</v>
      </c>
      <c r="M98" s="192" t="s">
        <v>287</v>
      </c>
      <c r="N98" s="129">
        <f>I98*P98/100</f>
        <v>438500</v>
      </c>
      <c r="O98" s="129">
        <f>K98*300</f>
        <v>82200</v>
      </c>
      <c r="P98" s="129">
        <v>50000</v>
      </c>
      <c r="Q98" s="129">
        <f>N98+O98</f>
        <v>520700</v>
      </c>
    </row>
    <row r="99" spans="1:17" ht="20" customHeight="1" x14ac:dyDescent="0.2">
      <c r="A99" s="3">
        <v>91</v>
      </c>
      <c r="B99" s="191">
        <v>19</v>
      </c>
      <c r="C99" s="168">
        <v>10</v>
      </c>
      <c r="D99" s="7" t="s">
        <v>134</v>
      </c>
      <c r="E99" s="7" t="s">
        <v>135</v>
      </c>
      <c r="F99" s="7" t="s">
        <v>16</v>
      </c>
      <c r="G99" s="6">
        <v>51</v>
      </c>
      <c r="H99" s="8">
        <v>600</v>
      </c>
      <c r="I99" s="8">
        <v>600</v>
      </c>
      <c r="J99" s="9">
        <f>I99-H99</f>
        <v>0</v>
      </c>
      <c r="K99" s="10">
        <v>232</v>
      </c>
      <c r="L99" s="10">
        <v>91.51</v>
      </c>
      <c r="M99" s="192" t="s">
        <v>136</v>
      </c>
      <c r="N99" s="129">
        <f>I99*P99/100</f>
        <v>300000</v>
      </c>
      <c r="O99" s="129">
        <f>K99*300</f>
        <v>69600</v>
      </c>
      <c r="P99" s="129">
        <v>50000</v>
      </c>
      <c r="Q99" s="129">
        <f>N99+O99</f>
        <v>369600</v>
      </c>
    </row>
    <row r="100" spans="1:17" ht="20" customHeight="1" x14ac:dyDescent="0.2">
      <c r="A100" s="3">
        <v>92</v>
      </c>
      <c r="B100" s="196">
        <v>31</v>
      </c>
      <c r="C100" s="168">
        <v>10</v>
      </c>
      <c r="D100" s="7" t="s">
        <v>174</v>
      </c>
      <c r="E100" s="7" t="s">
        <v>175</v>
      </c>
      <c r="F100" s="7" t="s">
        <v>16</v>
      </c>
      <c r="G100" s="6">
        <v>14</v>
      </c>
      <c r="H100" s="8">
        <v>1100</v>
      </c>
      <c r="I100" s="10">
        <v>700</v>
      </c>
      <c r="J100" s="9">
        <f>I100-H100</f>
        <v>-400</v>
      </c>
      <c r="K100" s="10">
        <v>254</v>
      </c>
      <c r="L100" s="10">
        <v>31.98</v>
      </c>
      <c r="M100" s="192" t="s">
        <v>176</v>
      </c>
      <c r="N100" s="129">
        <f>I100*P100/100</f>
        <v>350000</v>
      </c>
      <c r="O100" s="129">
        <f>K100*300</f>
        <v>76200</v>
      </c>
      <c r="P100" s="129">
        <v>50000</v>
      </c>
      <c r="Q100" s="129">
        <f>N100+O100</f>
        <v>426200</v>
      </c>
    </row>
    <row r="101" spans="1:17" ht="20" customHeight="1" x14ac:dyDescent="0.2">
      <c r="A101" s="3">
        <v>93</v>
      </c>
      <c r="B101" s="196">
        <v>33</v>
      </c>
      <c r="C101" s="168">
        <v>10</v>
      </c>
      <c r="D101" s="7" t="s">
        <v>179</v>
      </c>
      <c r="E101" s="7" t="s">
        <v>180</v>
      </c>
      <c r="F101" s="7" t="s">
        <v>16</v>
      </c>
      <c r="G101" s="6">
        <v>18</v>
      </c>
      <c r="H101" s="8">
        <v>945</v>
      </c>
      <c r="I101" s="8">
        <v>945</v>
      </c>
      <c r="J101" s="9">
        <f>I101-H101</f>
        <v>0</v>
      </c>
      <c r="K101" s="10">
        <v>427</v>
      </c>
      <c r="L101" s="10">
        <v>172.53</v>
      </c>
      <c r="M101" s="192" t="s">
        <v>181</v>
      </c>
      <c r="N101" s="129">
        <f>I101*P101/100</f>
        <v>472500</v>
      </c>
      <c r="O101" s="129">
        <f>K101*300</f>
        <v>128100</v>
      </c>
      <c r="P101" s="129">
        <v>50000</v>
      </c>
      <c r="Q101" s="129">
        <f>N101+O101</f>
        <v>600600</v>
      </c>
    </row>
    <row r="102" spans="1:17" s="31" customFormat="1" ht="20" customHeight="1" x14ac:dyDescent="0.2">
      <c r="A102" s="3"/>
      <c r="B102" s="200"/>
      <c r="C102" s="167"/>
      <c r="D102" s="4"/>
      <c r="E102" s="4"/>
      <c r="F102" s="4"/>
      <c r="G102" s="3"/>
      <c r="H102" s="127">
        <f>SUM(H65:H101)</f>
        <v>27241</v>
      </c>
      <c r="I102" s="127">
        <f t="shared" ref="I102:P102" si="5">SUM(I65:I101)</f>
        <v>26497</v>
      </c>
      <c r="J102" s="127">
        <f t="shared" si="5"/>
        <v>-744</v>
      </c>
      <c r="K102" s="127">
        <f t="shared" si="5"/>
        <v>11353.01</v>
      </c>
      <c r="L102" s="127">
        <f t="shared" si="5"/>
        <v>4356.3499999999995</v>
      </c>
      <c r="M102" s="127">
        <f t="shared" si="5"/>
        <v>0</v>
      </c>
      <c r="N102" s="127">
        <f t="shared" si="5"/>
        <v>13248500</v>
      </c>
      <c r="O102" s="127">
        <f t="shared" si="5"/>
        <v>3405903</v>
      </c>
      <c r="P102" s="127">
        <f t="shared" si="5"/>
        <v>1850000</v>
      </c>
      <c r="Q102" s="127">
        <f>SUM(Q65:Q101)</f>
        <v>16654403</v>
      </c>
    </row>
    <row r="103" spans="1:17" ht="20" customHeight="1" x14ac:dyDescent="0.2">
      <c r="A103" s="3">
        <v>94</v>
      </c>
      <c r="B103" s="196">
        <v>35</v>
      </c>
      <c r="C103" s="168">
        <v>12</v>
      </c>
      <c r="D103" s="7" t="s">
        <v>185</v>
      </c>
      <c r="E103" s="7" t="s">
        <v>186</v>
      </c>
      <c r="F103" s="7" t="s">
        <v>16</v>
      </c>
      <c r="G103" s="6">
        <v>52</v>
      </c>
      <c r="H103" s="8">
        <v>380</v>
      </c>
      <c r="I103" s="8">
        <v>380</v>
      </c>
      <c r="J103" s="9">
        <f>I103-H103</f>
        <v>0</v>
      </c>
      <c r="K103" s="10">
        <v>312</v>
      </c>
      <c r="L103" s="10">
        <v>62.81</v>
      </c>
      <c r="M103" s="192" t="s">
        <v>187</v>
      </c>
      <c r="N103" s="129">
        <f>I103*P103/100</f>
        <v>190000</v>
      </c>
      <c r="O103" s="129">
        <f>K103*300</f>
        <v>93600</v>
      </c>
      <c r="P103" s="129">
        <v>50000</v>
      </c>
      <c r="Q103" s="129">
        <f>N103+O103</f>
        <v>283600</v>
      </c>
    </row>
    <row r="104" spans="1:17" ht="20" customHeight="1" x14ac:dyDescent="0.2">
      <c r="A104" s="3">
        <v>95</v>
      </c>
      <c r="B104" s="196">
        <v>36</v>
      </c>
      <c r="C104" s="168">
        <v>12</v>
      </c>
      <c r="D104" s="7" t="s">
        <v>188</v>
      </c>
      <c r="E104" s="7" t="s">
        <v>189</v>
      </c>
      <c r="F104" s="7" t="s">
        <v>16</v>
      </c>
      <c r="G104" s="6">
        <v>70</v>
      </c>
      <c r="H104" s="8">
        <v>1140</v>
      </c>
      <c r="I104" s="10">
        <v>1700</v>
      </c>
      <c r="J104" s="9">
        <f>I104-H104</f>
        <v>560</v>
      </c>
      <c r="K104" s="10">
        <v>862</v>
      </c>
      <c r="L104" s="10">
        <v>382.5</v>
      </c>
      <c r="M104" s="192" t="s">
        <v>190</v>
      </c>
      <c r="N104" s="129">
        <f>I104*P104/100</f>
        <v>850000</v>
      </c>
      <c r="O104" s="129">
        <f>K104*300</f>
        <v>258600</v>
      </c>
      <c r="P104" s="129">
        <v>50000</v>
      </c>
      <c r="Q104" s="129">
        <f>N104+O104</f>
        <v>1108600</v>
      </c>
    </row>
    <row r="105" spans="1:17" ht="20" customHeight="1" x14ac:dyDescent="0.2">
      <c r="A105" s="3">
        <v>96</v>
      </c>
      <c r="B105" s="196">
        <v>37</v>
      </c>
      <c r="C105" s="168">
        <v>12</v>
      </c>
      <c r="D105" s="7" t="s">
        <v>191</v>
      </c>
      <c r="E105" s="7" t="s">
        <v>192</v>
      </c>
      <c r="F105" s="7" t="s">
        <v>16</v>
      </c>
      <c r="G105" s="6">
        <v>12</v>
      </c>
      <c r="H105" s="8">
        <v>700</v>
      </c>
      <c r="I105" s="8">
        <v>700</v>
      </c>
      <c r="J105" s="9">
        <f>I105-H105</f>
        <v>0</v>
      </c>
      <c r="K105" s="10">
        <v>269</v>
      </c>
      <c r="L105" s="10">
        <v>78.989999999999995</v>
      </c>
      <c r="M105" s="192" t="s">
        <v>193</v>
      </c>
      <c r="N105" s="129">
        <f>I105*P105/100</f>
        <v>350000</v>
      </c>
      <c r="O105" s="129">
        <f>K105*300</f>
        <v>80700</v>
      </c>
      <c r="P105" s="129">
        <v>50000</v>
      </c>
      <c r="Q105" s="129">
        <f>N105+O105</f>
        <v>430700</v>
      </c>
    </row>
    <row r="106" spans="1:17" ht="20" customHeight="1" x14ac:dyDescent="0.2">
      <c r="A106" s="3">
        <v>97</v>
      </c>
      <c r="B106" s="196">
        <v>38</v>
      </c>
      <c r="C106" s="168">
        <v>12</v>
      </c>
      <c r="D106" s="7" t="s">
        <v>194</v>
      </c>
      <c r="E106" s="7" t="s">
        <v>195</v>
      </c>
      <c r="F106" s="7" t="s">
        <v>16</v>
      </c>
      <c r="G106" s="6">
        <v>68</v>
      </c>
      <c r="H106" s="8">
        <v>593</v>
      </c>
      <c r="I106" s="8">
        <v>593</v>
      </c>
      <c r="J106" s="9">
        <f>I106-H106</f>
        <v>0</v>
      </c>
      <c r="K106" s="10">
        <v>354</v>
      </c>
      <c r="L106" s="10">
        <v>158.97999999999999</v>
      </c>
      <c r="M106" s="192" t="s">
        <v>196</v>
      </c>
      <c r="N106" s="129">
        <f>I106*P106/100</f>
        <v>296500</v>
      </c>
      <c r="O106" s="129">
        <f>K106*300</f>
        <v>106200</v>
      </c>
      <c r="P106" s="129">
        <v>50000</v>
      </c>
      <c r="Q106" s="129">
        <f>N106+O106</f>
        <v>402700</v>
      </c>
    </row>
    <row r="107" spans="1:17" ht="20" customHeight="1" x14ac:dyDescent="0.2">
      <c r="A107" s="3">
        <v>98</v>
      </c>
      <c r="B107" s="196">
        <v>39</v>
      </c>
      <c r="C107" s="168">
        <v>12</v>
      </c>
      <c r="D107" s="7" t="s">
        <v>197</v>
      </c>
      <c r="E107" s="7" t="s">
        <v>198</v>
      </c>
      <c r="F107" s="7" t="s">
        <v>16</v>
      </c>
      <c r="G107" s="6" t="s">
        <v>199</v>
      </c>
      <c r="H107" s="8">
        <v>772</v>
      </c>
      <c r="I107" s="8">
        <v>772</v>
      </c>
      <c r="J107" s="9">
        <f>I107-H107</f>
        <v>0</v>
      </c>
      <c r="K107" s="10">
        <v>285</v>
      </c>
      <c r="L107" s="10">
        <v>96.15</v>
      </c>
      <c r="M107" s="192" t="s">
        <v>200</v>
      </c>
      <c r="N107" s="129">
        <f>I107*P107/100</f>
        <v>386000</v>
      </c>
      <c r="O107" s="129">
        <f>K107*300</f>
        <v>85500</v>
      </c>
      <c r="P107" s="129">
        <v>50000</v>
      </c>
      <c r="Q107" s="129">
        <f>N107+O107</f>
        <v>471500</v>
      </c>
    </row>
    <row r="108" spans="1:17" ht="20" customHeight="1" x14ac:dyDescent="0.2">
      <c r="A108" s="3">
        <v>99</v>
      </c>
      <c r="B108" s="196">
        <v>40</v>
      </c>
      <c r="C108" s="168">
        <v>12</v>
      </c>
      <c r="D108" s="7" t="s">
        <v>201</v>
      </c>
      <c r="E108" s="7" t="s">
        <v>202</v>
      </c>
      <c r="F108" s="7" t="s">
        <v>16</v>
      </c>
      <c r="G108" s="6">
        <v>48</v>
      </c>
      <c r="H108" s="8">
        <v>500</v>
      </c>
      <c r="I108" s="10">
        <v>573</v>
      </c>
      <c r="J108" s="9">
        <f>I108-H108</f>
        <v>73</v>
      </c>
      <c r="K108" s="10">
        <v>261</v>
      </c>
      <c r="L108" s="10">
        <v>121.69</v>
      </c>
      <c r="M108" s="192" t="s">
        <v>158</v>
      </c>
      <c r="N108" s="129">
        <f>I108*P108/100</f>
        <v>286500</v>
      </c>
      <c r="O108" s="129">
        <f>K108*300</f>
        <v>78300</v>
      </c>
      <c r="P108" s="129">
        <v>50000</v>
      </c>
      <c r="Q108" s="129">
        <f>N108+O108</f>
        <v>364800</v>
      </c>
    </row>
    <row r="109" spans="1:17" ht="20" customHeight="1" x14ac:dyDescent="0.2">
      <c r="A109" s="3">
        <v>100</v>
      </c>
      <c r="B109" s="196">
        <v>41</v>
      </c>
      <c r="C109" s="168">
        <v>12</v>
      </c>
      <c r="D109" s="7" t="s">
        <v>203</v>
      </c>
      <c r="E109" s="7" t="s">
        <v>204</v>
      </c>
      <c r="F109" s="7" t="s">
        <v>16</v>
      </c>
      <c r="G109" s="6">
        <v>46</v>
      </c>
      <c r="H109" s="8">
        <v>723</v>
      </c>
      <c r="I109" s="8">
        <v>723</v>
      </c>
      <c r="J109" s="9">
        <f>I109-H109</f>
        <v>0</v>
      </c>
      <c r="K109" s="10">
        <v>340</v>
      </c>
      <c r="L109" s="10">
        <v>63.2</v>
      </c>
      <c r="M109" s="192" t="s">
        <v>200</v>
      </c>
      <c r="N109" s="129">
        <f>I109*P109/100</f>
        <v>433800</v>
      </c>
      <c r="O109" s="129">
        <f>K109*300</f>
        <v>102000</v>
      </c>
      <c r="P109" s="129">
        <v>60000</v>
      </c>
      <c r="Q109" s="129">
        <f>N109+O109</f>
        <v>535800</v>
      </c>
    </row>
    <row r="110" spans="1:17" ht="20" customHeight="1" x14ac:dyDescent="0.2">
      <c r="A110" s="3">
        <v>101</v>
      </c>
      <c r="B110" s="196">
        <v>42</v>
      </c>
      <c r="C110" s="168">
        <v>12</v>
      </c>
      <c r="D110" s="7" t="s">
        <v>205</v>
      </c>
      <c r="E110" s="7" t="s">
        <v>206</v>
      </c>
      <c r="F110" s="7" t="s">
        <v>16</v>
      </c>
      <c r="G110" s="6">
        <v>72</v>
      </c>
      <c r="H110" s="8">
        <v>725</v>
      </c>
      <c r="I110" s="8">
        <v>725</v>
      </c>
      <c r="J110" s="9">
        <f>I110-H110</f>
        <v>0</v>
      </c>
      <c r="K110" s="10">
        <v>315</v>
      </c>
      <c r="L110" s="10">
        <v>65.34</v>
      </c>
      <c r="M110" s="192" t="s">
        <v>207</v>
      </c>
      <c r="N110" s="129">
        <f>I110*P110/100</f>
        <v>362500</v>
      </c>
      <c r="O110" s="129">
        <f>K110*300</f>
        <v>94500</v>
      </c>
      <c r="P110" s="129">
        <v>50000</v>
      </c>
      <c r="Q110" s="129">
        <f>N110+O110</f>
        <v>457000</v>
      </c>
    </row>
    <row r="111" spans="1:17" ht="20" customHeight="1" x14ac:dyDescent="0.2">
      <c r="A111" s="3">
        <v>102</v>
      </c>
      <c r="B111" s="196">
        <v>43</v>
      </c>
      <c r="C111" s="168">
        <v>12</v>
      </c>
      <c r="D111" s="7" t="s">
        <v>208</v>
      </c>
      <c r="E111" s="7" t="s">
        <v>209</v>
      </c>
      <c r="F111" s="7" t="s">
        <v>16</v>
      </c>
      <c r="G111" s="6" t="s">
        <v>210</v>
      </c>
      <c r="H111" s="8">
        <v>217</v>
      </c>
      <c r="I111" s="8">
        <v>217</v>
      </c>
      <c r="J111" s="9">
        <f>I111-H111</f>
        <v>0</v>
      </c>
      <c r="K111" s="10">
        <v>150</v>
      </c>
      <c r="L111" s="10">
        <v>47.14</v>
      </c>
      <c r="M111" s="192" t="s">
        <v>211</v>
      </c>
      <c r="N111" s="129">
        <f>I111*P111/100</f>
        <v>108500</v>
      </c>
      <c r="O111" s="129">
        <f>K111*300</f>
        <v>45000</v>
      </c>
      <c r="P111" s="129">
        <v>50000</v>
      </c>
      <c r="Q111" s="129">
        <f>N111+O111</f>
        <v>153500</v>
      </c>
    </row>
    <row r="112" spans="1:17" ht="20" customHeight="1" x14ac:dyDescent="0.2">
      <c r="A112" s="3">
        <v>103</v>
      </c>
      <c r="B112" s="191">
        <v>44</v>
      </c>
      <c r="C112" s="168">
        <v>12</v>
      </c>
      <c r="D112" s="7" t="s">
        <v>212</v>
      </c>
      <c r="E112" s="7" t="s">
        <v>213</v>
      </c>
      <c r="F112" s="7" t="s">
        <v>16</v>
      </c>
      <c r="G112" s="6">
        <v>39</v>
      </c>
      <c r="H112" s="8">
        <v>600</v>
      </c>
      <c r="I112" s="10">
        <v>658</v>
      </c>
      <c r="J112" s="9">
        <f>I112-H112</f>
        <v>58</v>
      </c>
      <c r="K112" s="10">
        <v>271</v>
      </c>
      <c r="L112" s="10">
        <v>92.01</v>
      </c>
      <c r="M112" s="192" t="s">
        <v>214</v>
      </c>
      <c r="N112" s="129">
        <f>I112*P112/100</f>
        <v>329000</v>
      </c>
      <c r="O112" s="129">
        <f>K112*300</f>
        <v>81300</v>
      </c>
      <c r="P112" s="129">
        <v>50000</v>
      </c>
      <c r="Q112" s="129">
        <f>N112+O112</f>
        <v>410300</v>
      </c>
    </row>
    <row r="113" spans="1:17" ht="20" customHeight="1" x14ac:dyDescent="0.2">
      <c r="A113" s="3">
        <v>104</v>
      </c>
      <c r="B113" s="191">
        <v>45</v>
      </c>
      <c r="C113" s="168">
        <v>12</v>
      </c>
      <c r="D113" s="7" t="s">
        <v>215</v>
      </c>
      <c r="E113" s="7" t="s">
        <v>216</v>
      </c>
      <c r="F113" s="7" t="s">
        <v>16</v>
      </c>
      <c r="G113" s="6" t="s">
        <v>217</v>
      </c>
      <c r="H113" s="8">
        <v>1290</v>
      </c>
      <c r="I113" s="10">
        <v>414</v>
      </c>
      <c r="J113" s="9"/>
      <c r="K113" s="10">
        <v>230</v>
      </c>
      <c r="L113" s="10">
        <v>25.47</v>
      </c>
      <c r="M113" s="192" t="s">
        <v>218</v>
      </c>
      <c r="N113" s="129">
        <f>I113*P113/100</f>
        <v>207000</v>
      </c>
      <c r="O113" s="129">
        <f>K113*300</f>
        <v>69000</v>
      </c>
      <c r="P113" s="129">
        <v>50000</v>
      </c>
      <c r="Q113" s="129">
        <f>N113+O113</f>
        <v>276000</v>
      </c>
    </row>
    <row r="114" spans="1:17" ht="20" customHeight="1" x14ac:dyDescent="0.2">
      <c r="A114" s="3">
        <v>105</v>
      </c>
      <c r="B114" s="191">
        <v>46</v>
      </c>
      <c r="C114" s="168">
        <v>12</v>
      </c>
      <c r="D114" s="7" t="s">
        <v>219</v>
      </c>
      <c r="E114" s="7" t="s">
        <v>220</v>
      </c>
      <c r="F114" s="7" t="s">
        <v>16</v>
      </c>
      <c r="G114" s="6">
        <v>35</v>
      </c>
      <c r="H114" s="8">
        <v>1290</v>
      </c>
      <c r="I114" s="10">
        <v>876</v>
      </c>
      <c r="J114" s="9"/>
      <c r="K114" s="10">
        <v>228</v>
      </c>
      <c r="L114" s="10">
        <v>84.42</v>
      </c>
      <c r="M114" s="192" t="s">
        <v>218</v>
      </c>
      <c r="N114" s="129">
        <f>I114*P114/100</f>
        <v>438000</v>
      </c>
      <c r="O114" s="129">
        <f>K114*300</f>
        <v>68400</v>
      </c>
      <c r="P114" s="129">
        <v>50000</v>
      </c>
      <c r="Q114" s="129">
        <f>N114+O114</f>
        <v>506400</v>
      </c>
    </row>
    <row r="115" spans="1:17" ht="20" customHeight="1" x14ac:dyDescent="0.2">
      <c r="A115" s="3">
        <v>106</v>
      </c>
      <c r="B115" s="191">
        <v>47</v>
      </c>
      <c r="C115" s="168">
        <v>12</v>
      </c>
      <c r="D115" s="7" t="s">
        <v>221</v>
      </c>
      <c r="E115" s="7" t="s">
        <v>222</v>
      </c>
      <c r="F115" s="7" t="s">
        <v>16</v>
      </c>
      <c r="G115" s="6">
        <v>37</v>
      </c>
      <c r="H115" s="8">
        <v>634</v>
      </c>
      <c r="I115" s="8">
        <v>634</v>
      </c>
      <c r="J115" s="9">
        <f>I115-H115</f>
        <v>0</v>
      </c>
      <c r="K115" s="10">
        <v>353</v>
      </c>
      <c r="L115" s="10">
        <v>151.59</v>
      </c>
      <c r="M115" s="192" t="s">
        <v>223</v>
      </c>
      <c r="N115" s="129">
        <f>I115*P115/100</f>
        <v>317000</v>
      </c>
      <c r="O115" s="129">
        <f>K115*300</f>
        <v>105900</v>
      </c>
      <c r="P115" s="129">
        <v>50000</v>
      </c>
      <c r="Q115" s="129">
        <f>N115+O115</f>
        <v>422900</v>
      </c>
    </row>
    <row r="116" spans="1:17" ht="20" customHeight="1" x14ac:dyDescent="0.2">
      <c r="A116" s="3">
        <v>107</v>
      </c>
      <c r="B116" s="6">
        <v>48</v>
      </c>
      <c r="C116" s="168">
        <v>12</v>
      </c>
      <c r="D116" s="7" t="s">
        <v>224</v>
      </c>
      <c r="E116" s="7" t="s">
        <v>225</v>
      </c>
      <c r="F116" s="7" t="s">
        <v>16</v>
      </c>
      <c r="G116" s="6" t="s">
        <v>226</v>
      </c>
      <c r="H116" s="8">
        <v>1116</v>
      </c>
      <c r="I116" s="10">
        <v>1071</v>
      </c>
      <c r="J116" s="9">
        <f>I116-H116</f>
        <v>-45</v>
      </c>
      <c r="K116" s="10">
        <v>790</v>
      </c>
      <c r="L116" s="10">
        <v>284.8</v>
      </c>
      <c r="M116" s="192" t="s">
        <v>227</v>
      </c>
      <c r="N116" s="129">
        <f>I116*P116/100</f>
        <v>642600</v>
      </c>
      <c r="O116" s="129">
        <f>K116*300</f>
        <v>237000</v>
      </c>
      <c r="P116" s="129">
        <v>60000</v>
      </c>
      <c r="Q116" s="129">
        <f>N116+O116</f>
        <v>879600</v>
      </c>
    </row>
    <row r="117" spans="1:17" ht="20" customHeight="1" x14ac:dyDescent="0.2">
      <c r="A117" s="3">
        <v>108</v>
      </c>
      <c r="B117" s="6">
        <v>49</v>
      </c>
      <c r="C117" s="168">
        <v>12</v>
      </c>
      <c r="D117" s="7" t="s">
        <v>228</v>
      </c>
      <c r="E117" s="7" t="s">
        <v>229</v>
      </c>
      <c r="F117" s="7" t="s">
        <v>16</v>
      </c>
      <c r="G117" s="6" t="s">
        <v>230</v>
      </c>
      <c r="H117" s="8">
        <v>1000</v>
      </c>
      <c r="I117" s="10">
        <v>886</v>
      </c>
      <c r="J117" s="9">
        <f>I117-H117</f>
        <v>-114</v>
      </c>
      <c r="K117" s="10">
        <v>576</v>
      </c>
      <c r="L117" s="10">
        <v>194.04</v>
      </c>
      <c r="M117" s="192" t="s">
        <v>231</v>
      </c>
      <c r="N117" s="129">
        <f>I117*P117/100</f>
        <v>443000</v>
      </c>
      <c r="O117" s="129">
        <f>K117*300</f>
        <v>172800</v>
      </c>
      <c r="P117" s="129">
        <v>50000</v>
      </c>
      <c r="Q117" s="129">
        <f>N117+O117</f>
        <v>615800</v>
      </c>
    </row>
    <row r="118" spans="1:17" ht="20" customHeight="1" x14ac:dyDescent="0.2">
      <c r="A118" s="3">
        <v>109</v>
      </c>
      <c r="B118" s="191">
        <v>50</v>
      </c>
      <c r="C118" s="168">
        <v>12</v>
      </c>
      <c r="D118" s="7" t="s">
        <v>232</v>
      </c>
      <c r="E118" s="7" t="s">
        <v>233</v>
      </c>
      <c r="F118" s="7" t="s">
        <v>16</v>
      </c>
      <c r="G118" s="6">
        <v>24</v>
      </c>
      <c r="H118" s="8">
        <v>684</v>
      </c>
      <c r="I118" s="10">
        <v>400</v>
      </c>
      <c r="J118" s="9">
        <f>I118-H118</f>
        <v>-284</v>
      </c>
      <c r="K118" s="10">
        <v>222</v>
      </c>
      <c r="L118" s="10">
        <v>88.78</v>
      </c>
      <c r="M118" s="192" t="s">
        <v>234</v>
      </c>
      <c r="N118" s="129">
        <f>I118*P118/100</f>
        <v>200000</v>
      </c>
      <c r="O118" s="129">
        <f>K118*300</f>
        <v>66600</v>
      </c>
      <c r="P118" s="129">
        <v>50000</v>
      </c>
      <c r="Q118" s="129">
        <f>N118+O118</f>
        <v>266600</v>
      </c>
    </row>
    <row r="119" spans="1:17" ht="20" customHeight="1" x14ac:dyDescent="0.2">
      <c r="A119" s="3">
        <v>110</v>
      </c>
      <c r="B119" s="191">
        <v>51</v>
      </c>
      <c r="C119" s="168">
        <v>12</v>
      </c>
      <c r="D119" s="7" t="s">
        <v>137</v>
      </c>
      <c r="E119" s="7" t="s">
        <v>235</v>
      </c>
      <c r="F119" s="7" t="s">
        <v>16</v>
      </c>
      <c r="G119" s="6">
        <v>33</v>
      </c>
      <c r="H119" s="8">
        <v>597</v>
      </c>
      <c r="I119" s="8">
        <v>597</v>
      </c>
      <c r="J119" s="9">
        <f>I119-H119</f>
        <v>0</v>
      </c>
      <c r="K119" s="10">
        <v>448</v>
      </c>
      <c r="L119" s="10">
        <v>115.03</v>
      </c>
      <c r="M119" s="192" t="s">
        <v>236</v>
      </c>
      <c r="N119" s="129">
        <f>I119*P119/100</f>
        <v>298500</v>
      </c>
      <c r="O119" s="129">
        <f>K119*300</f>
        <v>134400</v>
      </c>
      <c r="P119" s="129">
        <v>50000</v>
      </c>
      <c r="Q119" s="129">
        <f>N119+O119</f>
        <v>432900</v>
      </c>
    </row>
    <row r="120" spans="1:17" ht="20" customHeight="1" x14ac:dyDescent="0.2">
      <c r="A120" s="3">
        <v>111</v>
      </c>
      <c r="B120" s="191">
        <v>54</v>
      </c>
      <c r="C120" s="168">
        <v>12</v>
      </c>
      <c r="D120" s="7" t="s">
        <v>244</v>
      </c>
      <c r="E120" s="7" t="s">
        <v>245</v>
      </c>
      <c r="F120" s="7" t="s">
        <v>16</v>
      </c>
      <c r="G120" s="6" t="s">
        <v>246</v>
      </c>
      <c r="H120" s="8">
        <v>606</v>
      </c>
      <c r="I120" s="8">
        <v>606</v>
      </c>
      <c r="J120" s="9">
        <f>I120-H120</f>
        <v>0</v>
      </c>
      <c r="K120" s="10">
        <v>385</v>
      </c>
      <c r="L120" s="10">
        <v>167</v>
      </c>
      <c r="M120" s="192" t="s">
        <v>247</v>
      </c>
      <c r="N120" s="129">
        <f>I120*P120/100</f>
        <v>303000</v>
      </c>
      <c r="O120" s="129">
        <f>K120*300</f>
        <v>115500</v>
      </c>
      <c r="P120" s="129">
        <v>50000</v>
      </c>
      <c r="Q120" s="129">
        <f>N120+O120</f>
        <v>418500</v>
      </c>
    </row>
    <row r="121" spans="1:17" ht="20" customHeight="1" x14ac:dyDescent="0.2">
      <c r="A121" s="3">
        <v>112</v>
      </c>
      <c r="B121" s="191">
        <v>55</v>
      </c>
      <c r="C121" s="168">
        <v>12</v>
      </c>
      <c r="D121" s="7" t="s">
        <v>248</v>
      </c>
      <c r="E121" s="7" t="s">
        <v>249</v>
      </c>
      <c r="F121" s="7" t="s">
        <v>16</v>
      </c>
      <c r="G121" s="6">
        <v>29</v>
      </c>
      <c r="H121" s="8">
        <v>546</v>
      </c>
      <c r="I121" s="8">
        <v>546</v>
      </c>
      <c r="J121" s="9">
        <f>I121-H121</f>
        <v>0</v>
      </c>
      <c r="K121" s="10">
        <v>289</v>
      </c>
      <c r="L121" s="10">
        <v>152.12</v>
      </c>
      <c r="M121" s="192" t="s">
        <v>247</v>
      </c>
      <c r="N121" s="129">
        <f>I121*P121/100</f>
        <v>273000</v>
      </c>
      <c r="O121" s="129">
        <f>K121*300</f>
        <v>86700</v>
      </c>
      <c r="P121" s="129">
        <v>50000</v>
      </c>
      <c r="Q121" s="129">
        <f>N121+O121</f>
        <v>359700</v>
      </c>
    </row>
    <row r="122" spans="1:17" ht="20" customHeight="1" x14ac:dyDescent="0.2">
      <c r="A122" s="3">
        <v>113</v>
      </c>
      <c r="B122" s="191">
        <v>56</v>
      </c>
      <c r="C122" s="168">
        <v>12</v>
      </c>
      <c r="D122" s="7" t="s">
        <v>250</v>
      </c>
      <c r="E122" s="7" t="s">
        <v>251</v>
      </c>
      <c r="F122" s="7" t="s">
        <v>16</v>
      </c>
      <c r="G122" s="6">
        <v>27</v>
      </c>
      <c r="H122" s="8">
        <v>600</v>
      </c>
      <c r="I122" s="8">
        <v>600</v>
      </c>
      <c r="J122" s="9">
        <f>I122-H122</f>
        <v>0</v>
      </c>
      <c r="K122" s="10">
        <v>273</v>
      </c>
      <c r="L122" s="10">
        <v>187.94</v>
      </c>
      <c r="M122" s="192" t="s">
        <v>252</v>
      </c>
      <c r="N122" s="129">
        <f>I122*P122/100</f>
        <v>300000</v>
      </c>
      <c r="O122" s="129">
        <f>K122*300</f>
        <v>81900</v>
      </c>
      <c r="P122" s="129">
        <v>50000</v>
      </c>
      <c r="Q122" s="129">
        <f>N122+O122</f>
        <v>381900</v>
      </c>
    </row>
    <row r="123" spans="1:17" ht="20" customHeight="1" x14ac:dyDescent="0.2">
      <c r="A123" s="3">
        <v>114</v>
      </c>
      <c r="B123" s="191">
        <v>57</v>
      </c>
      <c r="C123" s="168">
        <v>12</v>
      </c>
      <c r="D123" s="7" t="s">
        <v>253</v>
      </c>
      <c r="E123" s="7" t="s">
        <v>254</v>
      </c>
      <c r="F123" s="7" t="s">
        <v>16</v>
      </c>
      <c r="G123" s="6">
        <v>87</v>
      </c>
      <c r="H123" s="8">
        <v>895</v>
      </c>
      <c r="I123" s="8">
        <v>895</v>
      </c>
      <c r="J123" s="9">
        <f>I123-H123</f>
        <v>0</v>
      </c>
      <c r="K123" s="10">
        <v>278</v>
      </c>
      <c r="L123" s="10">
        <v>56.37</v>
      </c>
      <c r="M123" s="192" t="s">
        <v>255</v>
      </c>
      <c r="N123" s="129">
        <f>I123*P123/100</f>
        <v>447500</v>
      </c>
      <c r="O123" s="129">
        <f>K123*300</f>
        <v>83400</v>
      </c>
      <c r="P123" s="129">
        <v>50000</v>
      </c>
      <c r="Q123" s="129">
        <f>N123+O123</f>
        <v>530900</v>
      </c>
    </row>
    <row r="124" spans="1:17" ht="20" customHeight="1" x14ac:dyDescent="0.2">
      <c r="A124" s="3">
        <v>115</v>
      </c>
      <c r="B124" s="191">
        <v>58</v>
      </c>
      <c r="C124" s="168">
        <v>12</v>
      </c>
      <c r="D124" s="7" t="s">
        <v>253</v>
      </c>
      <c r="E124" s="7" t="s">
        <v>256</v>
      </c>
      <c r="F124" s="7" t="s">
        <v>16</v>
      </c>
      <c r="G124" s="6">
        <v>113</v>
      </c>
      <c r="H124" s="8">
        <v>1412</v>
      </c>
      <c r="I124" s="10">
        <v>1471</v>
      </c>
      <c r="J124" s="9">
        <f>I124-H124</f>
        <v>59</v>
      </c>
      <c r="K124" s="10">
        <v>523</v>
      </c>
      <c r="L124" s="10">
        <v>227.65</v>
      </c>
      <c r="M124" s="192" t="s">
        <v>257</v>
      </c>
      <c r="N124" s="129">
        <f>I124*P124/100</f>
        <v>735500</v>
      </c>
      <c r="O124" s="129">
        <f>K124*300</f>
        <v>156900</v>
      </c>
      <c r="P124" s="129">
        <v>50000</v>
      </c>
      <c r="Q124" s="129">
        <f>N124+O124</f>
        <v>892400</v>
      </c>
    </row>
    <row r="125" spans="1:17" ht="20" customHeight="1" x14ac:dyDescent="0.2">
      <c r="A125" s="3">
        <v>116</v>
      </c>
      <c r="B125" s="191">
        <v>60</v>
      </c>
      <c r="C125" s="168">
        <v>12</v>
      </c>
      <c r="D125" s="7" t="s">
        <v>261</v>
      </c>
      <c r="E125" s="7" t="s">
        <v>262</v>
      </c>
      <c r="F125" s="7" t="s">
        <v>16</v>
      </c>
      <c r="G125" s="6">
        <v>21</v>
      </c>
      <c r="H125" s="8">
        <v>560</v>
      </c>
      <c r="I125" s="8">
        <v>560</v>
      </c>
      <c r="J125" s="9">
        <f>I125-H125</f>
        <v>0</v>
      </c>
      <c r="K125" s="10">
        <v>271</v>
      </c>
      <c r="L125" s="10">
        <v>94.61</v>
      </c>
      <c r="M125" s="192" t="s">
        <v>263</v>
      </c>
      <c r="N125" s="129">
        <f>I125*P125/100</f>
        <v>280000</v>
      </c>
      <c r="O125" s="129">
        <f>K125*300</f>
        <v>81300</v>
      </c>
      <c r="P125" s="129">
        <v>50000</v>
      </c>
      <c r="Q125" s="129">
        <f>N125+O125</f>
        <v>361300</v>
      </c>
    </row>
    <row r="126" spans="1:17" ht="20" customHeight="1" x14ac:dyDescent="0.2">
      <c r="A126" s="3">
        <v>117</v>
      </c>
      <c r="B126" s="191">
        <v>61</v>
      </c>
      <c r="C126" s="168">
        <v>12</v>
      </c>
      <c r="D126" s="7" t="s">
        <v>264</v>
      </c>
      <c r="E126" s="7" t="s">
        <v>265</v>
      </c>
      <c r="F126" s="7" t="s">
        <v>16</v>
      </c>
      <c r="G126" s="6" t="s">
        <v>266</v>
      </c>
      <c r="H126" s="8">
        <v>600</v>
      </c>
      <c r="I126" s="10">
        <v>598</v>
      </c>
      <c r="J126" s="9">
        <f>I126-H126</f>
        <v>-2</v>
      </c>
      <c r="K126" s="10">
        <v>296</v>
      </c>
      <c r="L126" s="10">
        <v>152.84</v>
      </c>
      <c r="M126" s="192" t="s">
        <v>267</v>
      </c>
      <c r="N126" s="129">
        <f>I126*P126/100</f>
        <v>299000</v>
      </c>
      <c r="O126" s="129">
        <f>K126*300</f>
        <v>88800</v>
      </c>
      <c r="P126" s="129">
        <v>50000</v>
      </c>
      <c r="Q126" s="129">
        <f>N126+O126</f>
        <v>387800</v>
      </c>
    </row>
    <row r="127" spans="1:17" ht="20" customHeight="1" x14ac:dyDescent="0.2">
      <c r="A127" s="3">
        <v>118</v>
      </c>
      <c r="B127" s="191">
        <v>62</v>
      </c>
      <c r="C127" s="168">
        <v>12</v>
      </c>
      <c r="D127" s="7" t="s">
        <v>268</v>
      </c>
      <c r="E127" s="7" t="s">
        <v>269</v>
      </c>
      <c r="F127" s="7" t="s">
        <v>16</v>
      </c>
      <c r="G127" s="6">
        <v>111</v>
      </c>
      <c r="H127" s="8">
        <v>901</v>
      </c>
      <c r="I127" s="10">
        <v>534</v>
      </c>
      <c r="J127" s="9"/>
      <c r="K127" s="10">
        <v>298</v>
      </c>
      <c r="L127" s="10">
        <v>95.01</v>
      </c>
      <c r="M127" s="192" t="s">
        <v>270</v>
      </c>
      <c r="N127" s="129">
        <f>I127*P127/100</f>
        <v>267000</v>
      </c>
      <c r="O127" s="129">
        <f>K127*300</f>
        <v>89400</v>
      </c>
      <c r="P127" s="129">
        <v>50000</v>
      </c>
      <c r="Q127" s="129">
        <f>N127+O127</f>
        <v>356400</v>
      </c>
    </row>
    <row r="128" spans="1:17" ht="20" customHeight="1" x14ac:dyDescent="0.2">
      <c r="A128" s="3">
        <v>119</v>
      </c>
      <c r="B128" s="191">
        <v>63</v>
      </c>
      <c r="C128" s="168">
        <v>12</v>
      </c>
      <c r="D128" s="7" t="s">
        <v>271</v>
      </c>
      <c r="E128" s="7" t="s">
        <v>272</v>
      </c>
      <c r="F128" s="7" t="s">
        <v>16</v>
      </c>
      <c r="G128" s="6" t="s">
        <v>273</v>
      </c>
      <c r="H128" s="8">
        <v>901</v>
      </c>
      <c r="I128" s="10">
        <v>367</v>
      </c>
      <c r="J128" s="9"/>
      <c r="K128" s="10">
        <v>142</v>
      </c>
      <c r="L128" s="10">
        <v>66.16</v>
      </c>
      <c r="M128" s="192" t="s">
        <v>274</v>
      </c>
      <c r="N128" s="129">
        <f>I128*P128/100</f>
        <v>183500</v>
      </c>
      <c r="O128" s="129">
        <f>K128*300</f>
        <v>42600</v>
      </c>
      <c r="P128" s="129">
        <v>50000</v>
      </c>
      <c r="Q128" s="129">
        <f>N128+O128</f>
        <v>226100</v>
      </c>
    </row>
    <row r="129" spans="1:17" ht="20" customHeight="1" x14ac:dyDescent="0.2">
      <c r="A129" s="3">
        <v>120</v>
      </c>
      <c r="B129" s="191">
        <v>66</v>
      </c>
      <c r="C129" s="168">
        <v>12</v>
      </c>
      <c r="D129" s="7" t="s">
        <v>282</v>
      </c>
      <c r="E129" s="7" t="s">
        <v>283</v>
      </c>
      <c r="F129" s="7" t="s">
        <v>16</v>
      </c>
      <c r="G129" s="6">
        <v>117</v>
      </c>
      <c r="H129" s="8">
        <v>740</v>
      </c>
      <c r="I129" s="8">
        <v>807</v>
      </c>
      <c r="J129" s="9">
        <f>I129-H129</f>
        <v>67</v>
      </c>
      <c r="K129" s="10">
        <v>502</v>
      </c>
      <c r="L129" s="10">
        <v>186.94</v>
      </c>
      <c r="M129" s="192" t="s">
        <v>284</v>
      </c>
      <c r="N129" s="129">
        <f>I129*P129/100</f>
        <v>403500</v>
      </c>
      <c r="O129" s="129">
        <f>K129*300</f>
        <v>150600</v>
      </c>
      <c r="P129" s="129">
        <v>50000</v>
      </c>
      <c r="Q129" s="129">
        <f>N129+O129</f>
        <v>554100</v>
      </c>
    </row>
    <row r="130" spans="1:17" ht="20" customHeight="1" x14ac:dyDescent="0.2">
      <c r="A130" s="3">
        <v>121</v>
      </c>
      <c r="B130" s="191">
        <v>72</v>
      </c>
      <c r="C130" s="168">
        <v>12</v>
      </c>
      <c r="D130" s="7" t="s">
        <v>241</v>
      </c>
      <c r="E130" s="7" t="s">
        <v>302</v>
      </c>
      <c r="F130" s="7" t="s">
        <v>303</v>
      </c>
      <c r="G130" s="6">
        <v>119</v>
      </c>
      <c r="H130" s="8">
        <v>600</v>
      </c>
      <c r="I130" s="10">
        <v>516</v>
      </c>
      <c r="J130" s="9">
        <f>I130-H130</f>
        <v>-84</v>
      </c>
      <c r="K130" s="10">
        <v>273</v>
      </c>
      <c r="L130" s="10">
        <v>55.1</v>
      </c>
      <c r="M130" s="192" t="s">
        <v>304</v>
      </c>
      <c r="N130" s="129">
        <f>I130*P130/100</f>
        <v>258000</v>
      </c>
      <c r="O130" s="129">
        <f>K130*300</f>
        <v>81900</v>
      </c>
      <c r="P130" s="129">
        <v>50000</v>
      </c>
      <c r="Q130" s="129">
        <f>N130+O130</f>
        <v>339900</v>
      </c>
    </row>
    <row r="131" spans="1:17" ht="20" customHeight="1" x14ac:dyDescent="0.2">
      <c r="A131" s="3">
        <v>122</v>
      </c>
      <c r="B131" s="193">
        <v>83</v>
      </c>
      <c r="C131" s="168">
        <v>12</v>
      </c>
      <c r="D131" s="7" t="s">
        <v>334</v>
      </c>
      <c r="E131" s="7" t="s">
        <v>335</v>
      </c>
      <c r="F131" s="7" t="s">
        <v>16</v>
      </c>
      <c r="G131" s="6">
        <v>7</v>
      </c>
      <c r="H131" s="8">
        <v>586</v>
      </c>
      <c r="I131" s="8">
        <v>586</v>
      </c>
      <c r="J131" s="9">
        <f>I131-H131</f>
        <v>0</v>
      </c>
      <c r="K131" s="10">
        <v>200</v>
      </c>
      <c r="L131" s="10">
        <v>99.66</v>
      </c>
      <c r="M131" s="192" t="s">
        <v>336</v>
      </c>
      <c r="N131" s="129">
        <f>I131*P131/100</f>
        <v>293000</v>
      </c>
      <c r="O131" s="129">
        <f>K131*300</f>
        <v>60000</v>
      </c>
      <c r="P131" s="129">
        <v>50000</v>
      </c>
      <c r="Q131" s="129">
        <f>N131+O131</f>
        <v>353000</v>
      </c>
    </row>
    <row r="132" spans="1:17" ht="20" customHeight="1" x14ac:dyDescent="0.2">
      <c r="A132" s="3">
        <v>123</v>
      </c>
      <c r="B132" s="193">
        <v>84</v>
      </c>
      <c r="C132" s="168">
        <v>12</v>
      </c>
      <c r="D132" s="7" t="s">
        <v>337</v>
      </c>
      <c r="E132" s="7" t="s">
        <v>338</v>
      </c>
      <c r="F132" s="7" t="s">
        <v>16</v>
      </c>
      <c r="G132" s="6">
        <v>109</v>
      </c>
      <c r="H132" s="8">
        <v>923</v>
      </c>
      <c r="I132" s="8">
        <v>923</v>
      </c>
      <c r="J132" s="9">
        <f>I132-H132</f>
        <v>0</v>
      </c>
      <c r="K132" s="10">
        <v>521</v>
      </c>
      <c r="L132" s="10">
        <v>136.53</v>
      </c>
      <c r="M132" s="192" t="s">
        <v>339</v>
      </c>
      <c r="N132" s="129">
        <f>I132*P132/100</f>
        <v>461500</v>
      </c>
      <c r="O132" s="129">
        <f>K132*300</f>
        <v>156300</v>
      </c>
      <c r="P132" s="129">
        <v>50000</v>
      </c>
      <c r="Q132" s="129">
        <f>N132+O132</f>
        <v>617800</v>
      </c>
    </row>
    <row r="133" spans="1:17" ht="20" customHeight="1" x14ac:dyDescent="0.2">
      <c r="A133" s="3">
        <v>124</v>
      </c>
      <c r="B133" s="193">
        <v>85</v>
      </c>
      <c r="C133" s="168">
        <v>12</v>
      </c>
      <c r="D133" s="7" t="s">
        <v>340</v>
      </c>
      <c r="E133" s="7" t="s">
        <v>341</v>
      </c>
      <c r="F133" s="7" t="s">
        <v>16</v>
      </c>
      <c r="G133" s="6" t="s">
        <v>342</v>
      </c>
      <c r="H133" s="8">
        <v>1090</v>
      </c>
      <c r="I133" s="8">
        <v>1090</v>
      </c>
      <c r="J133" s="9">
        <f>I133-H133</f>
        <v>0</v>
      </c>
      <c r="K133" s="10">
        <v>557</v>
      </c>
      <c r="L133" s="10">
        <v>233.09</v>
      </c>
      <c r="M133" s="192" t="s">
        <v>343</v>
      </c>
      <c r="N133" s="129">
        <f>I133*P133/100</f>
        <v>654000</v>
      </c>
      <c r="O133" s="129">
        <f>K133*300</f>
        <v>167100</v>
      </c>
      <c r="P133" s="129">
        <v>60000</v>
      </c>
      <c r="Q133" s="129">
        <f>N133+O133</f>
        <v>821100</v>
      </c>
    </row>
    <row r="134" spans="1:17" ht="20" customHeight="1" x14ac:dyDescent="0.2">
      <c r="A134" s="3">
        <v>125</v>
      </c>
      <c r="B134" s="193">
        <v>87</v>
      </c>
      <c r="C134" s="168">
        <v>12</v>
      </c>
      <c r="D134" s="7" t="s">
        <v>347</v>
      </c>
      <c r="E134" s="7" t="s">
        <v>348</v>
      </c>
      <c r="F134" s="7" t="s">
        <v>16</v>
      </c>
      <c r="G134" s="6">
        <v>13</v>
      </c>
      <c r="H134" s="8">
        <v>600</v>
      </c>
      <c r="I134" s="10">
        <v>612</v>
      </c>
      <c r="J134" s="9">
        <f>I134-H134</f>
        <v>12</v>
      </c>
      <c r="K134" s="10">
        <v>180</v>
      </c>
      <c r="L134" s="10">
        <v>69.61</v>
      </c>
      <c r="M134" s="192" t="s">
        <v>349</v>
      </c>
      <c r="N134" s="129">
        <f>I134*P134/100</f>
        <v>306000</v>
      </c>
      <c r="O134" s="129">
        <f>K134*300</f>
        <v>54000</v>
      </c>
      <c r="P134" s="129">
        <v>50000</v>
      </c>
      <c r="Q134" s="129">
        <f>N134+O134</f>
        <v>360000</v>
      </c>
    </row>
    <row r="135" spans="1:17" ht="20" customHeight="1" x14ac:dyDescent="0.2">
      <c r="A135" s="3">
        <v>126</v>
      </c>
      <c r="B135" s="197">
        <v>109</v>
      </c>
      <c r="C135" s="168">
        <v>12</v>
      </c>
      <c r="D135" s="7" t="s">
        <v>418</v>
      </c>
      <c r="E135" s="7" t="s">
        <v>419</v>
      </c>
      <c r="F135" s="7" t="s">
        <v>16</v>
      </c>
      <c r="G135" s="6">
        <v>76</v>
      </c>
      <c r="H135" s="8">
        <v>600</v>
      </c>
      <c r="I135" s="8">
        <v>600</v>
      </c>
      <c r="J135" s="9">
        <f>I135-H135</f>
        <v>0</v>
      </c>
      <c r="K135" s="10">
        <v>102</v>
      </c>
      <c r="L135" s="10">
        <v>38.479999999999997</v>
      </c>
      <c r="M135" s="192" t="s">
        <v>420</v>
      </c>
      <c r="N135" s="129">
        <f>I135*P135/100</f>
        <v>300000</v>
      </c>
      <c r="O135" s="129">
        <f>K135*300</f>
        <v>30600</v>
      </c>
      <c r="P135" s="129">
        <v>50000</v>
      </c>
      <c r="Q135" s="129">
        <f>N135+O135</f>
        <v>330600</v>
      </c>
    </row>
    <row r="136" spans="1:17" ht="20" customHeight="1" x14ac:dyDescent="0.2">
      <c r="A136" s="3">
        <v>127</v>
      </c>
      <c r="B136" s="197">
        <v>110</v>
      </c>
      <c r="C136" s="168">
        <v>12</v>
      </c>
      <c r="D136" s="7" t="s">
        <v>421</v>
      </c>
      <c r="E136" s="7" t="s">
        <v>422</v>
      </c>
      <c r="F136" s="7" t="s">
        <v>16</v>
      </c>
      <c r="G136" s="6">
        <v>91</v>
      </c>
      <c r="H136" s="8">
        <v>588</v>
      </c>
      <c r="I136" s="8">
        <v>588</v>
      </c>
      <c r="J136" s="9">
        <f>I136-H136</f>
        <v>0</v>
      </c>
      <c r="K136" s="10">
        <v>301</v>
      </c>
      <c r="L136" s="10">
        <v>175.9</v>
      </c>
      <c r="M136" s="192" t="s">
        <v>423</v>
      </c>
      <c r="N136" s="129">
        <f>I136*P136/100</f>
        <v>294000</v>
      </c>
      <c r="O136" s="129">
        <f>K136*300</f>
        <v>90300</v>
      </c>
      <c r="P136" s="129">
        <v>50000</v>
      </c>
      <c r="Q136" s="129">
        <f>N136+O136</f>
        <v>384300</v>
      </c>
    </row>
    <row r="137" spans="1:17" ht="20" customHeight="1" x14ac:dyDescent="0.2">
      <c r="A137" s="3">
        <v>128</v>
      </c>
      <c r="B137" s="197">
        <v>111</v>
      </c>
      <c r="C137" s="168">
        <v>12</v>
      </c>
      <c r="D137" s="7" t="s">
        <v>424</v>
      </c>
      <c r="E137" s="7" t="s">
        <v>425</v>
      </c>
      <c r="F137" s="7" t="s">
        <v>20</v>
      </c>
      <c r="G137" s="6">
        <v>90</v>
      </c>
      <c r="H137" s="8">
        <v>600</v>
      </c>
      <c r="I137" s="10">
        <v>651</v>
      </c>
      <c r="J137" s="9">
        <f>I137-H137</f>
        <v>51</v>
      </c>
      <c r="K137" s="10">
        <v>290</v>
      </c>
      <c r="L137" s="10">
        <v>137.69999999999999</v>
      </c>
      <c r="M137" s="192" t="s">
        <v>426</v>
      </c>
      <c r="N137" s="129">
        <f>I137*P137/100</f>
        <v>325500</v>
      </c>
      <c r="O137" s="129">
        <f>K137*300</f>
        <v>87000</v>
      </c>
      <c r="P137" s="129">
        <v>50000</v>
      </c>
      <c r="Q137" s="129">
        <f>N137+O137</f>
        <v>412500</v>
      </c>
    </row>
    <row r="138" spans="1:17" ht="20" customHeight="1" x14ac:dyDescent="0.2">
      <c r="A138" s="3">
        <v>129</v>
      </c>
      <c r="B138" s="197">
        <v>112</v>
      </c>
      <c r="C138" s="168">
        <v>12</v>
      </c>
      <c r="D138" s="7" t="s">
        <v>427</v>
      </c>
      <c r="E138" s="7" t="s">
        <v>428</v>
      </c>
      <c r="F138" s="7" t="s">
        <v>16</v>
      </c>
      <c r="G138" s="6" t="s">
        <v>429</v>
      </c>
      <c r="H138" s="8">
        <v>600</v>
      </c>
      <c r="I138" s="8">
        <v>600</v>
      </c>
      <c r="J138" s="9">
        <f>I138-H138</f>
        <v>0</v>
      </c>
      <c r="K138" s="10">
        <v>129</v>
      </c>
      <c r="L138" s="10">
        <v>62.85</v>
      </c>
      <c r="M138" s="192" t="s">
        <v>430</v>
      </c>
      <c r="N138" s="129">
        <f>I138*P138/100</f>
        <v>300000</v>
      </c>
      <c r="O138" s="129">
        <f>K138*300</f>
        <v>38700</v>
      </c>
      <c r="P138" s="129">
        <v>50000</v>
      </c>
      <c r="Q138" s="129">
        <f>N138+O138</f>
        <v>338700</v>
      </c>
    </row>
    <row r="139" spans="1:17" ht="20" customHeight="1" x14ac:dyDescent="0.2">
      <c r="A139" s="3">
        <v>130</v>
      </c>
      <c r="B139" s="197">
        <v>113</v>
      </c>
      <c r="C139" s="168">
        <v>12</v>
      </c>
      <c r="D139" s="7" t="s">
        <v>431</v>
      </c>
      <c r="E139" s="7" t="s">
        <v>432</v>
      </c>
      <c r="F139" s="7" t="s">
        <v>16</v>
      </c>
      <c r="G139" s="6">
        <v>86</v>
      </c>
      <c r="H139" s="8">
        <v>383</v>
      </c>
      <c r="I139" s="8">
        <v>383</v>
      </c>
      <c r="J139" s="9">
        <f>I139-H139</f>
        <v>0</v>
      </c>
      <c r="K139" s="10">
        <v>167</v>
      </c>
      <c r="L139" s="10">
        <v>62.86</v>
      </c>
      <c r="M139" s="192" t="s">
        <v>433</v>
      </c>
      <c r="N139" s="129">
        <f>I139*P139/100</f>
        <v>191500</v>
      </c>
      <c r="O139" s="129">
        <f>K139*300</f>
        <v>50100</v>
      </c>
      <c r="P139" s="129">
        <v>50000</v>
      </c>
      <c r="Q139" s="129">
        <f>N139+O139</f>
        <v>241600</v>
      </c>
    </row>
    <row r="140" spans="1:17" ht="20" customHeight="1" x14ac:dyDescent="0.2">
      <c r="A140" s="3">
        <v>131</v>
      </c>
      <c r="B140" s="197">
        <v>114</v>
      </c>
      <c r="C140" s="168">
        <v>12</v>
      </c>
      <c r="D140" s="7" t="s">
        <v>434</v>
      </c>
      <c r="E140" s="7" t="s">
        <v>435</v>
      </c>
      <c r="F140" s="7" t="s">
        <v>16</v>
      </c>
      <c r="G140" s="6" t="s">
        <v>436</v>
      </c>
      <c r="H140" s="8">
        <v>600</v>
      </c>
      <c r="I140" s="10">
        <v>595</v>
      </c>
      <c r="J140" s="9">
        <f>I140-H140</f>
        <v>-5</v>
      </c>
      <c r="K140" s="10">
        <v>291</v>
      </c>
      <c r="L140" s="10">
        <v>54</v>
      </c>
      <c r="M140" s="192" t="s">
        <v>437</v>
      </c>
      <c r="N140" s="129">
        <f>I140*P140/100</f>
        <v>297500</v>
      </c>
      <c r="O140" s="129">
        <f>K140*300</f>
        <v>87300</v>
      </c>
      <c r="P140" s="129">
        <v>50000</v>
      </c>
      <c r="Q140" s="129">
        <f>N140+O140</f>
        <v>384800</v>
      </c>
    </row>
    <row r="141" spans="1:17" ht="20" customHeight="1" x14ac:dyDescent="0.2">
      <c r="A141" s="3">
        <v>132</v>
      </c>
      <c r="B141" s="197">
        <v>115</v>
      </c>
      <c r="C141" s="168">
        <v>12</v>
      </c>
      <c r="D141" s="7" t="s">
        <v>438</v>
      </c>
      <c r="E141" s="7" t="s">
        <v>439</v>
      </c>
      <c r="F141" s="7" t="s">
        <v>16</v>
      </c>
      <c r="G141" s="6">
        <v>88</v>
      </c>
      <c r="H141" s="8">
        <v>600</v>
      </c>
      <c r="I141" s="10">
        <v>617</v>
      </c>
      <c r="J141" s="9">
        <f>I141-H141</f>
        <v>17</v>
      </c>
      <c r="K141" s="10">
        <v>366</v>
      </c>
      <c r="L141" s="10">
        <v>209.7</v>
      </c>
      <c r="M141" s="192" t="s">
        <v>440</v>
      </c>
      <c r="N141" s="129">
        <f>I141*P141/100</f>
        <v>308500</v>
      </c>
      <c r="O141" s="129">
        <f>K141*300</f>
        <v>109800</v>
      </c>
      <c r="P141" s="129">
        <v>50000</v>
      </c>
      <c r="Q141" s="129">
        <f>N141+O141</f>
        <v>418300</v>
      </c>
    </row>
    <row r="142" spans="1:17" ht="20" customHeight="1" x14ac:dyDescent="0.2">
      <c r="A142" s="3">
        <v>133</v>
      </c>
      <c r="B142" s="194">
        <v>108</v>
      </c>
      <c r="C142" s="168">
        <v>12</v>
      </c>
      <c r="D142" s="7" t="s">
        <v>414</v>
      </c>
      <c r="E142" s="7" t="s">
        <v>415</v>
      </c>
      <c r="F142" s="7" t="s">
        <v>16</v>
      </c>
      <c r="G142" s="6" t="s">
        <v>416</v>
      </c>
      <c r="H142" s="8">
        <v>1200</v>
      </c>
      <c r="I142" s="10">
        <v>1487</v>
      </c>
      <c r="J142" s="9">
        <f>I142-H142</f>
        <v>287</v>
      </c>
      <c r="K142" s="10">
        <v>547</v>
      </c>
      <c r="L142" s="10">
        <v>164.96</v>
      </c>
      <c r="M142" s="192" t="s">
        <v>417</v>
      </c>
      <c r="N142" s="129">
        <f>I142*P142/100</f>
        <v>743500</v>
      </c>
      <c r="O142" s="129">
        <f>K142*300</f>
        <v>164100</v>
      </c>
      <c r="P142" s="129">
        <v>50000</v>
      </c>
      <c r="Q142" s="129">
        <f>N142+O142</f>
        <v>907600</v>
      </c>
    </row>
    <row r="143" spans="1:17" s="31" customFormat="1" ht="20" customHeight="1" x14ac:dyDescent="0.2">
      <c r="A143" s="3"/>
      <c r="B143" s="199"/>
      <c r="C143" s="167"/>
      <c r="D143" s="4"/>
      <c r="E143" s="4"/>
      <c r="F143" s="4"/>
      <c r="G143" s="3"/>
      <c r="H143" s="127">
        <f>SUM(H103:H142)</f>
        <v>29692</v>
      </c>
      <c r="I143" s="127">
        <f t="shared" ref="I143:Q143" si="6">SUM(I103:I142)</f>
        <v>28151</v>
      </c>
      <c r="J143" s="127">
        <f t="shared" si="6"/>
        <v>650</v>
      </c>
      <c r="K143" s="127">
        <f t="shared" si="6"/>
        <v>13447</v>
      </c>
      <c r="L143" s="127">
        <f t="shared" si="6"/>
        <v>5000.0199999999995</v>
      </c>
      <c r="M143" s="127">
        <f t="shared" si="6"/>
        <v>0</v>
      </c>
      <c r="N143" s="127">
        <f t="shared" si="6"/>
        <v>14363900</v>
      </c>
      <c r="O143" s="127">
        <f t="shared" si="6"/>
        <v>4034100</v>
      </c>
      <c r="P143" s="127">
        <f t="shared" si="6"/>
        <v>2030000</v>
      </c>
      <c r="Q143" s="127">
        <f t="shared" si="6"/>
        <v>18398000</v>
      </c>
    </row>
    <row r="144" spans="1:17" ht="20" customHeight="1" x14ac:dyDescent="0.2">
      <c r="A144" s="3">
        <v>134</v>
      </c>
      <c r="B144" s="197">
        <v>116</v>
      </c>
      <c r="C144" s="168">
        <v>13</v>
      </c>
      <c r="D144" s="7" t="s">
        <v>441</v>
      </c>
      <c r="E144" s="7" t="s">
        <v>442</v>
      </c>
      <c r="F144" s="7" t="s">
        <v>363</v>
      </c>
      <c r="G144" s="6" t="s">
        <v>443</v>
      </c>
      <c r="H144" s="8">
        <v>600</v>
      </c>
      <c r="I144" s="10">
        <v>608</v>
      </c>
      <c r="J144" s="9">
        <f>I144-H144</f>
        <v>8</v>
      </c>
      <c r="K144" s="10">
        <v>280</v>
      </c>
      <c r="L144" s="10">
        <v>108.02</v>
      </c>
      <c r="M144" s="192" t="s">
        <v>444</v>
      </c>
      <c r="N144" s="129">
        <f>I144*P144/100</f>
        <v>304000</v>
      </c>
      <c r="O144" s="129">
        <f>K144*300</f>
        <v>84000</v>
      </c>
      <c r="P144" s="129">
        <v>50000</v>
      </c>
      <c r="Q144" s="129">
        <f>N144+O144</f>
        <v>388000</v>
      </c>
    </row>
    <row r="145" spans="1:17" ht="20" customHeight="1" x14ac:dyDescent="0.2">
      <c r="A145" s="3">
        <v>135</v>
      </c>
      <c r="B145" s="197">
        <v>117</v>
      </c>
      <c r="C145" s="168">
        <v>13</v>
      </c>
      <c r="D145" s="7" t="s">
        <v>445</v>
      </c>
      <c r="E145" s="7" t="s">
        <v>446</v>
      </c>
      <c r="F145" s="7" t="s">
        <v>16</v>
      </c>
      <c r="G145" s="6">
        <v>92</v>
      </c>
      <c r="H145" s="8">
        <v>830</v>
      </c>
      <c r="I145" s="8">
        <v>830</v>
      </c>
      <c r="J145" s="9">
        <f>I145-H145</f>
        <v>0</v>
      </c>
      <c r="K145" s="10">
        <v>359</v>
      </c>
      <c r="L145" s="10">
        <v>298.2</v>
      </c>
      <c r="M145" s="192" t="s">
        <v>123</v>
      </c>
      <c r="N145" s="129">
        <f>I145*P145/100</f>
        <v>415000</v>
      </c>
      <c r="O145" s="129">
        <f>K145*300</f>
        <v>107700</v>
      </c>
      <c r="P145" s="129">
        <v>50000</v>
      </c>
      <c r="Q145" s="129">
        <f>N145+O145</f>
        <v>522700</v>
      </c>
    </row>
    <row r="146" spans="1:17" ht="20" customHeight="1" x14ac:dyDescent="0.2">
      <c r="A146" s="3">
        <v>136</v>
      </c>
      <c r="B146" s="197">
        <v>118</v>
      </c>
      <c r="C146" s="168">
        <v>13</v>
      </c>
      <c r="D146" s="7" t="s">
        <v>447</v>
      </c>
      <c r="E146" s="7" t="s">
        <v>448</v>
      </c>
      <c r="F146" s="7" t="s">
        <v>20</v>
      </c>
      <c r="G146" s="6">
        <v>98</v>
      </c>
      <c r="H146" s="8">
        <v>600</v>
      </c>
      <c r="I146" s="8">
        <v>600</v>
      </c>
      <c r="J146" s="9">
        <f>I146-H146</f>
        <v>0</v>
      </c>
      <c r="K146" s="10">
        <v>217</v>
      </c>
      <c r="L146" s="10">
        <v>148.38</v>
      </c>
      <c r="M146" s="192" t="s">
        <v>449</v>
      </c>
      <c r="N146" s="129">
        <f>I146*P146/100</f>
        <v>300000</v>
      </c>
      <c r="O146" s="129">
        <f>K146*300</f>
        <v>65100</v>
      </c>
      <c r="P146" s="129">
        <v>50000</v>
      </c>
      <c r="Q146" s="129">
        <f>N146+O146</f>
        <v>365100</v>
      </c>
    </row>
    <row r="147" spans="1:17" ht="20" customHeight="1" x14ac:dyDescent="0.2">
      <c r="A147" s="3">
        <v>137</v>
      </c>
      <c r="B147" s="197">
        <v>119</v>
      </c>
      <c r="C147" s="168">
        <v>13</v>
      </c>
      <c r="D147" s="7" t="s">
        <v>450</v>
      </c>
      <c r="E147" s="7" t="s">
        <v>451</v>
      </c>
      <c r="F147" s="7" t="s">
        <v>16</v>
      </c>
      <c r="G147" s="6">
        <v>99</v>
      </c>
      <c r="H147" s="8">
        <v>600</v>
      </c>
      <c r="I147" s="8">
        <v>600</v>
      </c>
      <c r="J147" s="9">
        <f>I147-H147</f>
        <v>0</v>
      </c>
      <c r="K147" s="10">
        <v>365</v>
      </c>
      <c r="L147" s="10">
        <v>279.5</v>
      </c>
      <c r="M147" s="192" t="s">
        <v>452</v>
      </c>
      <c r="N147" s="129">
        <f>I147*P147/100</f>
        <v>300000</v>
      </c>
      <c r="O147" s="129">
        <f>K147*300</f>
        <v>109500</v>
      </c>
      <c r="P147" s="129">
        <v>50000</v>
      </c>
      <c r="Q147" s="129">
        <f>N147+O147</f>
        <v>409500</v>
      </c>
    </row>
    <row r="148" spans="1:17" ht="20" customHeight="1" x14ac:dyDescent="0.2">
      <c r="A148" s="3">
        <v>138</v>
      </c>
      <c r="B148" s="197">
        <v>120</v>
      </c>
      <c r="C148" s="168">
        <v>13</v>
      </c>
      <c r="D148" s="7" t="s">
        <v>453</v>
      </c>
      <c r="E148" s="7" t="s">
        <v>454</v>
      </c>
      <c r="F148" s="7" t="s">
        <v>16</v>
      </c>
      <c r="G148" s="6">
        <v>98</v>
      </c>
      <c r="H148" s="8">
        <v>600</v>
      </c>
      <c r="I148" s="8">
        <v>600</v>
      </c>
      <c r="J148" s="9">
        <f>I148-H148</f>
        <v>0</v>
      </c>
      <c r="K148" s="10">
        <v>249</v>
      </c>
      <c r="L148" s="10">
        <v>105.8</v>
      </c>
      <c r="M148" s="192" t="s">
        <v>455</v>
      </c>
      <c r="N148" s="129">
        <f>I148*P148/100</f>
        <v>300000</v>
      </c>
      <c r="O148" s="129">
        <f>K148*300</f>
        <v>74700</v>
      </c>
      <c r="P148" s="129">
        <v>50000</v>
      </c>
      <c r="Q148" s="129">
        <f>N148+O148</f>
        <v>374700</v>
      </c>
    </row>
    <row r="149" spans="1:17" ht="20" customHeight="1" x14ac:dyDescent="0.2">
      <c r="A149" s="3">
        <v>139</v>
      </c>
      <c r="B149" s="197">
        <v>121</v>
      </c>
      <c r="C149" s="168">
        <v>13</v>
      </c>
      <c r="D149" s="7" t="s">
        <v>456</v>
      </c>
      <c r="E149" s="7" t="s">
        <v>457</v>
      </c>
      <c r="F149" s="7" t="s">
        <v>16</v>
      </c>
      <c r="G149" s="6">
        <v>100</v>
      </c>
      <c r="H149" s="8">
        <v>600</v>
      </c>
      <c r="I149" s="8">
        <v>600</v>
      </c>
      <c r="J149" s="9">
        <f>I149-H149</f>
        <v>0</v>
      </c>
      <c r="K149" s="10">
        <v>349</v>
      </c>
      <c r="L149" s="10">
        <v>166.26</v>
      </c>
      <c r="M149" s="192" t="s">
        <v>458</v>
      </c>
      <c r="N149" s="129">
        <f>I149*P149/100</f>
        <v>300000</v>
      </c>
      <c r="O149" s="129">
        <f>K149*300</f>
        <v>104700</v>
      </c>
      <c r="P149" s="129">
        <v>50000</v>
      </c>
      <c r="Q149" s="129">
        <f>N149+O149</f>
        <v>404700</v>
      </c>
    </row>
    <row r="150" spans="1:17" ht="20" customHeight="1" x14ac:dyDescent="0.2">
      <c r="A150" s="3">
        <v>140</v>
      </c>
      <c r="B150" s="197">
        <v>122</v>
      </c>
      <c r="C150" s="168">
        <v>13</v>
      </c>
      <c r="D150" s="7" t="s">
        <v>459</v>
      </c>
      <c r="E150" s="7" t="s">
        <v>460</v>
      </c>
      <c r="F150" s="7" t="s">
        <v>16</v>
      </c>
      <c r="G150" s="6">
        <v>94</v>
      </c>
      <c r="H150" s="8">
        <v>566</v>
      </c>
      <c r="I150" s="8">
        <v>566</v>
      </c>
      <c r="J150" s="9">
        <f>I150-H150</f>
        <v>0</v>
      </c>
      <c r="K150" s="10">
        <v>245</v>
      </c>
      <c r="L150" s="10">
        <v>148.9</v>
      </c>
      <c r="M150" s="192" t="s">
        <v>461</v>
      </c>
      <c r="N150" s="129">
        <f>I150*P150/100</f>
        <v>283000</v>
      </c>
      <c r="O150" s="129">
        <f>K150*300</f>
        <v>73500</v>
      </c>
      <c r="P150" s="129">
        <v>50000</v>
      </c>
      <c r="Q150" s="129">
        <f>N150+O150</f>
        <v>356500</v>
      </c>
    </row>
    <row r="151" spans="1:17" s="31" customFormat="1" ht="20" customHeight="1" x14ac:dyDescent="0.2">
      <c r="A151" s="3"/>
      <c r="B151" s="198"/>
      <c r="C151" s="167"/>
      <c r="D151" s="4"/>
      <c r="E151" s="4"/>
      <c r="F151" s="4"/>
      <c r="G151" s="3"/>
      <c r="H151" s="127">
        <f>SUM(H144:H150)</f>
        <v>4396</v>
      </c>
      <c r="I151" s="127">
        <f t="shared" ref="I151:Q151" si="7">SUM(I144:I150)</f>
        <v>4404</v>
      </c>
      <c r="J151" s="127">
        <f t="shared" si="7"/>
        <v>8</v>
      </c>
      <c r="K151" s="127">
        <f t="shared" si="7"/>
        <v>2064</v>
      </c>
      <c r="L151" s="127">
        <f t="shared" si="7"/>
        <v>1255.06</v>
      </c>
      <c r="M151" s="127">
        <f t="shared" si="7"/>
        <v>0</v>
      </c>
      <c r="N151" s="127">
        <f t="shared" si="7"/>
        <v>2202000</v>
      </c>
      <c r="O151" s="127">
        <f t="shared" si="7"/>
        <v>619200</v>
      </c>
      <c r="P151" s="127">
        <f t="shared" si="7"/>
        <v>350000</v>
      </c>
      <c r="Q151" s="127">
        <f t="shared" si="7"/>
        <v>2821200</v>
      </c>
    </row>
    <row r="152" spans="1:17" ht="20" customHeight="1" x14ac:dyDescent="0.2">
      <c r="A152" s="3">
        <v>141</v>
      </c>
      <c r="B152" s="197">
        <v>123</v>
      </c>
      <c r="C152" s="168">
        <v>14</v>
      </c>
      <c r="D152" s="7" t="s">
        <v>462</v>
      </c>
      <c r="E152" s="7" t="s">
        <v>463</v>
      </c>
      <c r="F152" s="7" t="s">
        <v>16</v>
      </c>
      <c r="G152" s="6">
        <v>102</v>
      </c>
      <c r="H152" s="8">
        <v>990</v>
      </c>
      <c r="I152" s="8">
        <v>990</v>
      </c>
      <c r="J152" s="9">
        <f>I152-H152</f>
        <v>0</v>
      </c>
      <c r="K152" s="10">
        <v>357</v>
      </c>
      <c r="L152" s="10">
        <v>201.82</v>
      </c>
      <c r="M152" s="192" t="s">
        <v>464</v>
      </c>
      <c r="N152" s="129">
        <f>I152*P152/100</f>
        <v>495000</v>
      </c>
      <c r="O152" s="129">
        <f>K152*300</f>
        <v>107100</v>
      </c>
      <c r="P152" s="129">
        <v>50000</v>
      </c>
      <c r="Q152" s="129">
        <f>N152+O152</f>
        <v>602100</v>
      </c>
    </row>
    <row r="153" spans="1:17" ht="20" customHeight="1" x14ac:dyDescent="0.2">
      <c r="A153" s="3">
        <v>142</v>
      </c>
      <c r="B153" s="197">
        <v>124</v>
      </c>
      <c r="C153" s="168">
        <v>14</v>
      </c>
      <c r="D153" s="7" t="s">
        <v>465</v>
      </c>
      <c r="E153" s="7" t="s">
        <v>466</v>
      </c>
      <c r="F153" s="7" t="s">
        <v>16</v>
      </c>
      <c r="G153" s="6">
        <v>106</v>
      </c>
      <c r="H153" s="8">
        <v>1759</v>
      </c>
      <c r="I153" s="8">
        <v>1759</v>
      </c>
      <c r="J153" s="9">
        <f>I153-H153</f>
        <v>0</v>
      </c>
      <c r="K153" s="10">
        <v>477</v>
      </c>
      <c r="L153" s="10">
        <v>236.99</v>
      </c>
      <c r="M153" s="192" t="s">
        <v>467</v>
      </c>
      <c r="N153" s="129">
        <f>I153*P153/100</f>
        <v>1055400</v>
      </c>
      <c r="O153" s="129">
        <f>K153*300</f>
        <v>143100</v>
      </c>
      <c r="P153" s="129">
        <v>60000</v>
      </c>
      <c r="Q153" s="129">
        <f>N153+O153</f>
        <v>1198500</v>
      </c>
    </row>
    <row r="154" spans="1:17" ht="20" customHeight="1" x14ac:dyDescent="0.2">
      <c r="A154" s="3">
        <v>143</v>
      </c>
      <c r="B154" s="197">
        <v>125</v>
      </c>
      <c r="C154" s="168">
        <v>14</v>
      </c>
      <c r="D154" s="7" t="s">
        <v>468</v>
      </c>
      <c r="E154" s="7" t="s">
        <v>469</v>
      </c>
      <c r="F154" s="7" t="s">
        <v>16</v>
      </c>
      <c r="G154" s="6">
        <v>131</v>
      </c>
      <c r="H154" s="8">
        <v>600</v>
      </c>
      <c r="I154" s="8">
        <v>600</v>
      </c>
      <c r="J154" s="9">
        <f>I154-H154</f>
        <v>0</v>
      </c>
      <c r="K154" s="10">
        <v>226</v>
      </c>
      <c r="L154" s="10">
        <v>122.29</v>
      </c>
      <c r="M154" s="192" t="s">
        <v>470</v>
      </c>
      <c r="N154" s="129">
        <f>I154*P154/100</f>
        <v>390000</v>
      </c>
      <c r="O154" s="129">
        <f>K154*300</f>
        <v>67800</v>
      </c>
      <c r="P154" s="129">
        <v>65000</v>
      </c>
      <c r="Q154" s="129">
        <f>N154+O154</f>
        <v>457800</v>
      </c>
    </row>
    <row r="155" spans="1:17" ht="20" customHeight="1" x14ac:dyDescent="0.2">
      <c r="A155" s="3">
        <v>144</v>
      </c>
      <c r="B155" s="197">
        <v>126</v>
      </c>
      <c r="C155" s="168">
        <v>14</v>
      </c>
      <c r="D155" s="7" t="s">
        <v>471</v>
      </c>
      <c r="E155" s="7" t="s">
        <v>472</v>
      </c>
      <c r="F155" s="7" t="s">
        <v>16</v>
      </c>
      <c r="G155" s="6">
        <v>105</v>
      </c>
      <c r="H155" s="8">
        <v>739</v>
      </c>
      <c r="I155" s="8">
        <v>739</v>
      </c>
      <c r="J155" s="9">
        <f>I155-H155</f>
        <v>0</v>
      </c>
      <c r="K155" s="10">
        <v>427</v>
      </c>
      <c r="L155" s="10">
        <v>211.65</v>
      </c>
      <c r="M155" s="192" t="s">
        <v>473</v>
      </c>
      <c r="N155" s="129">
        <f>I155*P155/100</f>
        <v>369500</v>
      </c>
      <c r="O155" s="129">
        <f>K155*300</f>
        <v>128100</v>
      </c>
      <c r="P155" s="129">
        <v>50000</v>
      </c>
      <c r="Q155" s="129">
        <f>N155+O155</f>
        <v>497600</v>
      </c>
    </row>
    <row r="156" spans="1:17" ht="20" customHeight="1" x14ac:dyDescent="0.2">
      <c r="A156" s="3">
        <v>145</v>
      </c>
      <c r="B156" s="197">
        <v>127</v>
      </c>
      <c r="C156" s="168">
        <v>14</v>
      </c>
      <c r="D156" s="7" t="s">
        <v>474</v>
      </c>
      <c r="E156" s="7" t="s">
        <v>475</v>
      </c>
      <c r="F156" s="7" t="s">
        <v>16</v>
      </c>
      <c r="G156" s="6">
        <v>110</v>
      </c>
      <c r="H156" s="8">
        <v>523</v>
      </c>
      <c r="I156" s="8">
        <v>523</v>
      </c>
      <c r="J156" s="9">
        <f>I156-H156</f>
        <v>0</v>
      </c>
      <c r="K156" s="10">
        <v>195</v>
      </c>
      <c r="L156" s="10">
        <v>99.21</v>
      </c>
      <c r="M156" s="192" t="s">
        <v>476</v>
      </c>
      <c r="N156" s="129">
        <f>I156*P156/100</f>
        <v>261500</v>
      </c>
      <c r="O156" s="129">
        <f>K156*300</f>
        <v>58500</v>
      </c>
      <c r="P156" s="129">
        <v>50000</v>
      </c>
      <c r="Q156" s="129">
        <f>N156+O156</f>
        <v>320000</v>
      </c>
    </row>
    <row r="157" spans="1:17" ht="20" customHeight="1" x14ac:dyDescent="0.2">
      <c r="A157" s="3">
        <v>146</v>
      </c>
      <c r="B157" s="197">
        <v>128</v>
      </c>
      <c r="C157" s="168">
        <v>14</v>
      </c>
      <c r="D157" s="7" t="s">
        <v>477</v>
      </c>
      <c r="E157" s="7" t="s">
        <v>478</v>
      </c>
      <c r="F157" s="7" t="s">
        <v>16</v>
      </c>
      <c r="G157" s="6">
        <v>112</v>
      </c>
      <c r="H157" s="8">
        <v>600</v>
      </c>
      <c r="I157" s="8">
        <v>600</v>
      </c>
      <c r="J157" s="9">
        <f>I157-H157</f>
        <v>0</v>
      </c>
      <c r="K157" s="10">
        <v>391</v>
      </c>
      <c r="L157" s="10">
        <v>174.5</v>
      </c>
      <c r="M157" s="192" t="s">
        <v>479</v>
      </c>
      <c r="N157" s="129">
        <f>I157*P157/100</f>
        <v>360000</v>
      </c>
      <c r="O157" s="129">
        <f>K157*300</f>
        <v>117300</v>
      </c>
      <c r="P157" s="129">
        <v>60000</v>
      </c>
      <c r="Q157" s="129">
        <f>N157+O157</f>
        <v>477300</v>
      </c>
    </row>
    <row r="158" spans="1:17" ht="20" customHeight="1" x14ac:dyDescent="0.2">
      <c r="A158" s="3">
        <v>147</v>
      </c>
      <c r="B158" s="197">
        <v>129</v>
      </c>
      <c r="C158" s="168">
        <v>14</v>
      </c>
      <c r="D158" s="7" t="s">
        <v>480</v>
      </c>
      <c r="E158" s="7" t="s">
        <v>481</v>
      </c>
      <c r="F158" s="7" t="s">
        <v>16</v>
      </c>
      <c r="G158" s="6">
        <v>116</v>
      </c>
      <c r="H158" s="8">
        <v>600</v>
      </c>
      <c r="I158" s="10">
        <v>575</v>
      </c>
      <c r="J158" s="9">
        <f>I158-H158</f>
        <v>-25</v>
      </c>
      <c r="K158" s="10">
        <v>332</v>
      </c>
      <c r="L158" s="10">
        <v>132.63999999999999</v>
      </c>
      <c r="M158" s="192" t="s">
        <v>482</v>
      </c>
      <c r="N158" s="129">
        <f>I158*P158/100</f>
        <v>345000</v>
      </c>
      <c r="O158" s="129">
        <f>K158*300</f>
        <v>99600</v>
      </c>
      <c r="P158" s="129">
        <v>60000</v>
      </c>
      <c r="Q158" s="129">
        <f>N158+O158</f>
        <v>444600</v>
      </c>
    </row>
    <row r="159" spans="1:17" ht="20" customHeight="1" x14ac:dyDescent="0.2">
      <c r="A159" s="3">
        <v>148</v>
      </c>
      <c r="B159" s="197">
        <v>130</v>
      </c>
      <c r="C159" s="168">
        <v>14</v>
      </c>
      <c r="D159" s="7" t="s">
        <v>483</v>
      </c>
      <c r="E159" s="7" t="s">
        <v>484</v>
      </c>
      <c r="F159" s="7" t="s">
        <v>16</v>
      </c>
      <c r="G159" s="6" t="s">
        <v>485</v>
      </c>
      <c r="H159" s="8">
        <v>1387</v>
      </c>
      <c r="I159" s="10">
        <v>794</v>
      </c>
      <c r="J159" s="9">
        <f>I159-H159</f>
        <v>-593</v>
      </c>
      <c r="K159" s="10">
        <v>421</v>
      </c>
      <c r="L159" s="10">
        <v>109.27</v>
      </c>
      <c r="M159" s="192" t="s">
        <v>486</v>
      </c>
      <c r="N159" s="129">
        <f>I159*P159/100</f>
        <v>397000</v>
      </c>
      <c r="O159" s="129">
        <f>K159*300</f>
        <v>126300</v>
      </c>
      <c r="P159" s="129">
        <v>50000</v>
      </c>
      <c r="Q159" s="129">
        <f>N159+O159</f>
        <v>523300</v>
      </c>
    </row>
    <row r="160" spans="1:17" ht="20" customHeight="1" x14ac:dyDescent="0.2">
      <c r="A160" s="3">
        <v>149</v>
      </c>
      <c r="B160" s="197">
        <v>131</v>
      </c>
      <c r="C160" s="168">
        <v>14</v>
      </c>
      <c r="D160" s="7" t="s">
        <v>487</v>
      </c>
      <c r="E160" s="7" t="s">
        <v>488</v>
      </c>
      <c r="F160" s="7" t="s">
        <v>16</v>
      </c>
      <c r="G160" s="6">
        <v>114</v>
      </c>
      <c r="H160" s="8">
        <v>1387</v>
      </c>
      <c r="I160" s="10">
        <v>586</v>
      </c>
      <c r="J160" s="9">
        <f>I160-H160</f>
        <v>-801</v>
      </c>
      <c r="K160" s="10">
        <v>234</v>
      </c>
      <c r="L160" s="10">
        <v>98.78</v>
      </c>
      <c r="M160" s="192" t="s">
        <v>489</v>
      </c>
      <c r="N160" s="129">
        <f>I160*P160/100</f>
        <v>293000</v>
      </c>
      <c r="O160" s="129">
        <f>K160*300</f>
        <v>70200</v>
      </c>
      <c r="P160" s="129">
        <v>50000</v>
      </c>
      <c r="Q160" s="129">
        <f>N160+O160</f>
        <v>363200</v>
      </c>
    </row>
    <row r="161" spans="1:17" ht="20" customHeight="1" x14ac:dyDescent="0.2">
      <c r="A161" s="3">
        <v>150</v>
      </c>
      <c r="B161" s="197">
        <v>132</v>
      </c>
      <c r="C161" s="168">
        <v>14</v>
      </c>
      <c r="D161" s="7" t="s">
        <v>490</v>
      </c>
      <c r="E161" s="7" t="s">
        <v>491</v>
      </c>
      <c r="F161" s="7" t="s">
        <v>16</v>
      </c>
      <c r="G161" s="6" t="s">
        <v>492</v>
      </c>
      <c r="H161" s="8">
        <v>600</v>
      </c>
      <c r="I161" s="8">
        <v>600</v>
      </c>
      <c r="J161" s="9">
        <f>I161-H161</f>
        <v>0</v>
      </c>
      <c r="K161" s="10">
        <v>460</v>
      </c>
      <c r="L161" s="10">
        <v>198.34</v>
      </c>
      <c r="M161" s="192" t="s">
        <v>493</v>
      </c>
      <c r="N161" s="129">
        <f>I161*P161/100</f>
        <v>390000</v>
      </c>
      <c r="O161" s="129">
        <f>K161*300</f>
        <v>138000</v>
      </c>
      <c r="P161" s="129">
        <v>65000</v>
      </c>
      <c r="Q161" s="129">
        <f>N161+O161</f>
        <v>528000</v>
      </c>
    </row>
    <row r="162" spans="1:17" ht="20" customHeight="1" x14ac:dyDescent="0.2">
      <c r="A162" s="3">
        <v>151</v>
      </c>
      <c r="B162" s="197">
        <v>133</v>
      </c>
      <c r="C162" s="168">
        <v>14</v>
      </c>
      <c r="D162" s="7" t="s">
        <v>494</v>
      </c>
      <c r="E162" s="7" t="s">
        <v>495</v>
      </c>
      <c r="F162" s="7" t="s">
        <v>16</v>
      </c>
      <c r="G162" s="6">
        <v>4</v>
      </c>
      <c r="H162" s="8">
        <v>1037</v>
      </c>
      <c r="I162" s="8">
        <v>1037</v>
      </c>
      <c r="J162" s="9">
        <f>I162-H162</f>
        <v>0</v>
      </c>
      <c r="K162" s="10">
        <v>494</v>
      </c>
      <c r="L162" s="10">
        <v>180.1</v>
      </c>
      <c r="M162" s="192" t="s">
        <v>496</v>
      </c>
      <c r="N162" s="129">
        <f>I162*P162/100</f>
        <v>622200</v>
      </c>
      <c r="O162" s="129">
        <f>K162*300</f>
        <v>148200</v>
      </c>
      <c r="P162" s="129">
        <v>60000</v>
      </c>
      <c r="Q162" s="129">
        <f>N162+O162</f>
        <v>770400</v>
      </c>
    </row>
    <row r="163" spans="1:17" s="31" customFormat="1" ht="18" x14ac:dyDescent="0.2">
      <c r="A163" s="3"/>
      <c r="B163" s="198"/>
      <c r="C163" s="167"/>
      <c r="D163" s="4"/>
      <c r="E163" s="4"/>
      <c r="F163" s="4"/>
      <c r="G163" s="3"/>
      <c r="H163" s="127">
        <f>SUM(H152:H162)</f>
        <v>10222</v>
      </c>
      <c r="I163" s="127">
        <f t="shared" ref="I163:Q163" si="8">SUM(I152:I162)</f>
        <v>8803</v>
      </c>
      <c r="J163" s="127">
        <f t="shared" si="8"/>
        <v>-1419</v>
      </c>
      <c r="K163" s="127">
        <f t="shared" si="8"/>
        <v>4014</v>
      </c>
      <c r="L163" s="127">
        <f t="shared" si="8"/>
        <v>1765.5899999999997</v>
      </c>
      <c r="M163" s="127">
        <f t="shared" si="8"/>
        <v>0</v>
      </c>
      <c r="N163" s="127">
        <f t="shared" si="8"/>
        <v>4978600</v>
      </c>
      <c r="O163" s="127">
        <f t="shared" si="8"/>
        <v>1204200</v>
      </c>
      <c r="P163" s="127">
        <f t="shared" si="8"/>
        <v>620000</v>
      </c>
      <c r="Q163" s="127">
        <f t="shared" si="8"/>
        <v>6182800</v>
      </c>
    </row>
    <row r="164" spans="1:17" ht="19" x14ac:dyDescent="0.2">
      <c r="A164" s="3"/>
      <c r="B164" s="6"/>
      <c r="C164" s="168"/>
      <c r="D164" s="12" t="s">
        <v>22</v>
      </c>
      <c r="E164" s="6"/>
      <c r="F164" s="7" t="s">
        <v>16</v>
      </c>
      <c r="G164" s="6" t="s">
        <v>23</v>
      </c>
      <c r="H164" s="11">
        <v>428</v>
      </c>
      <c r="I164" s="9">
        <f>H164</f>
        <v>428</v>
      </c>
      <c r="J164" s="9">
        <f>I164-H164</f>
        <v>0</v>
      </c>
      <c r="K164" s="10"/>
      <c r="L164" s="10"/>
      <c r="M164" s="7"/>
      <c r="N164" s="129"/>
      <c r="O164" s="129"/>
      <c r="P164" s="129"/>
      <c r="Q164" s="129"/>
    </row>
    <row r="165" spans="1:17" ht="19" x14ac:dyDescent="0.2">
      <c r="A165" s="3"/>
      <c r="B165" s="6"/>
      <c r="C165" s="168"/>
      <c r="D165" s="12" t="s">
        <v>30</v>
      </c>
      <c r="E165" s="6"/>
      <c r="F165" s="7" t="s">
        <v>16</v>
      </c>
      <c r="G165" s="6">
        <v>271</v>
      </c>
      <c r="H165" s="11">
        <v>2214</v>
      </c>
      <c r="I165" s="9">
        <f>H165</f>
        <v>2214</v>
      </c>
      <c r="J165" s="9">
        <f>I165-H165</f>
        <v>0</v>
      </c>
      <c r="K165" s="10"/>
      <c r="L165" s="10"/>
      <c r="M165" s="7"/>
      <c r="N165" s="129"/>
      <c r="O165" s="129"/>
      <c r="P165" s="129"/>
      <c r="Q165" s="129"/>
    </row>
    <row r="166" spans="1:17" x14ac:dyDescent="0.2">
      <c r="A166" s="32"/>
      <c r="H166" s="1"/>
      <c r="I166" s="1"/>
      <c r="J166" s="1"/>
      <c r="K166" s="1"/>
      <c r="L166" s="1"/>
      <c r="M166" s="34"/>
      <c r="N166" s="35"/>
    </row>
    <row r="167" spans="1:17" x14ac:dyDescent="0.2">
      <c r="A167" s="32"/>
      <c r="H167" s="1"/>
      <c r="I167" s="1"/>
      <c r="J167" s="1"/>
      <c r="K167" s="1"/>
      <c r="L167" s="1"/>
      <c r="M167" s="34"/>
    </row>
    <row r="168" spans="1:17" x14ac:dyDescent="0.2">
      <c r="A168" s="32"/>
      <c r="H168" s="1"/>
      <c r="I168" s="1"/>
      <c r="J168" s="1"/>
      <c r="K168" s="1"/>
      <c r="L168" s="1"/>
      <c r="M168" s="34"/>
    </row>
    <row r="169" spans="1:17" x14ac:dyDescent="0.2">
      <c r="A169" s="32"/>
      <c r="H169" s="1"/>
      <c r="I169" s="1"/>
      <c r="J169" s="1"/>
      <c r="K169" s="1"/>
      <c r="L169" s="1"/>
      <c r="M169" s="34"/>
    </row>
    <row r="170" spans="1:17" x14ac:dyDescent="0.2">
      <c r="A170" s="32"/>
      <c r="H170" s="1"/>
      <c r="I170" s="1"/>
      <c r="J170" s="1"/>
      <c r="K170" s="1"/>
      <c r="L170" s="1"/>
      <c r="M170" s="34"/>
    </row>
    <row r="171" spans="1:17" x14ac:dyDescent="0.2">
      <c r="A171" s="32"/>
      <c r="H171" s="1"/>
      <c r="I171" s="1"/>
      <c r="J171" s="1"/>
      <c r="K171" s="1"/>
      <c r="L171" s="1"/>
      <c r="M171" s="34"/>
    </row>
    <row r="172" spans="1:17" x14ac:dyDescent="0.2">
      <c r="A172" s="32"/>
      <c r="H172" s="1"/>
      <c r="I172" s="1"/>
      <c r="J172" s="1"/>
      <c r="K172" s="1"/>
      <c r="L172" s="1"/>
      <c r="M172" s="34"/>
    </row>
    <row r="173" spans="1:17" x14ac:dyDescent="0.2">
      <c r="A173" s="32"/>
      <c r="H173" s="1"/>
      <c r="I173" s="1"/>
      <c r="J173" s="1"/>
      <c r="K173" s="1"/>
      <c r="L173" s="1"/>
      <c r="M173" s="34"/>
    </row>
    <row r="174" spans="1:17" x14ac:dyDescent="0.2">
      <c r="A174" s="32"/>
      <c r="H174" s="1"/>
      <c r="I174" s="1"/>
      <c r="J174" s="1"/>
      <c r="K174" s="1"/>
      <c r="L174" s="1"/>
      <c r="M174" s="34"/>
    </row>
    <row r="175" spans="1:17" x14ac:dyDescent="0.2">
      <c r="A175" s="32"/>
      <c r="H175" s="1"/>
      <c r="I175" s="1"/>
      <c r="J175" s="1"/>
      <c r="K175" s="1"/>
      <c r="L175" s="1"/>
      <c r="M175" s="34"/>
    </row>
    <row r="176" spans="1:17" x14ac:dyDescent="0.2">
      <c r="A176" s="32"/>
      <c r="H176" s="1"/>
      <c r="I176" s="1"/>
      <c r="J176" s="1"/>
      <c r="K176" s="1"/>
      <c r="L176" s="1"/>
      <c r="M176" s="34"/>
    </row>
    <row r="177" spans="1:13" x14ac:dyDescent="0.2">
      <c r="A177" s="32"/>
      <c r="H177" s="1"/>
      <c r="I177" s="1"/>
      <c r="J177" s="1"/>
      <c r="K177" s="1"/>
      <c r="L177" s="1"/>
      <c r="M177" s="34"/>
    </row>
    <row r="178" spans="1:13" x14ac:dyDescent="0.2">
      <c r="A178" s="32"/>
      <c r="H178" s="1"/>
      <c r="I178" s="1"/>
      <c r="J178" s="1"/>
      <c r="K178" s="1"/>
      <c r="L178" s="1"/>
      <c r="M178" s="34"/>
    </row>
    <row r="179" spans="1:13" x14ac:dyDescent="0.2">
      <c r="A179" s="32"/>
      <c r="H179" s="1"/>
      <c r="I179" s="1"/>
      <c r="J179" s="1"/>
      <c r="K179" s="1"/>
      <c r="L179" s="1"/>
      <c r="M179" s="34"/>
    </row>
    <row r="180" spans="1:13" x14ac:dyDescent="0.2">
      <c r="A180" s="32"/>
      <c r="H180" s="1"/>
      <c r="I180" s="1"/>
      <c r="J180" s="1"/>
      <c r="K180" s="1"/>
      <c r="L180" s="1"/>
      <c r="M180" s="34"/>
    </row>
    <row r="181" spans="1:13" x14ac:dyDescent="0.2">
      <c r="A181" s="32"/>
      <c r="H181" s="1"/>
      <c r="I181" s="1"/>
      <c r="J181" s="1"/>
      <c r="K181" s="1"/>
      <c r="L181" s="1"/>
      <c r="M181" s="34"/>
    </row>
    <row r="182" spans="1:13" x14ac:dyDescent="0.2">
      <c r="A182" s="32"/>
      <c r="H182" s="1"/>
      <c r="I182" s="1"/>
      <c r="J182" s="1"/>
      <c r="K182" s="1"/>
      <c r="L182" s="1"/>
      <c r="M182" s="34"/>
    </row>
    <row r="183" spans="1:13" x14ac:dyDescent="0.2">
      <c r="A183" s="32"/>
      <c r="H183" s="1"/>
      <c r="I183" s="1"/>
      <c r="J183" s="1"/>
      <c r="K183" s="1"/>
      <c r="L183" s="1"/>
      <c r="M183" s="34"/>
    </row>
    <row r="184" spans="1:13" x14ac:dyDescent="0.2">
      <c r="A184" s="32"/>
      <c r="B184" s="36"/>
      <c r="C184" s="173"/>
      <c r="D184" s="32"/>
      <c r="E184" s="32"/>
      <c r="F184" s="32"/>
      <c r="G184" s="32"/>
      <c r="H184" s="37"/>
      <c r="I184" s="37"/>
      <c r="J184" s="37"/>
      <c r="K184" s="37"/>
      <c r="L184" s="37"/>
      <c r="M184" s="34"/>
    </row>
    <row r="185" spans="1:13" x14ac:dyDescent="0.2">
      <c r="A185" s="32"/>
      <c r="B185" s="36"/>
      <c r="C185" s="173"/>
      <c r="D185" s="32"/>
      <c r="E185" s="32"/>
      <c r="F185" s="32"/>
      <c r="G185" s="32"/>
      <c r="H185" s="37"/>
      <c r="I185" s="37"/>
      <c r="J185" s="37"/>
      <c r="K185" s="37"/>
      <c r="L185" s="37"/>
      <c r="M185" s="34"/>
    </row>
    <row r="186" spans="1:13" x14ac:dyDescent="0.2">
      <c r="A186" s="32"/>
      <c r="B186" s="36"/>
      <c r="C186" s="173"/>
      <c r="D186" s="32"/>
      <c r="E186" s="32"/>
      <c r="F186" s="32"/>
      <c r="G186" s="32"/>
      <c r="H186" s="37"/>
      <c r="I186" s="37"/>
      <c r="J186" s="37"/>
      <c r="K186" s="37"/>
      <c r="L186" s="37"/>
      <c r="M186" s="34"/>
    </row>
    <row r="187" spans="1:13" x14ac:dyDescent="0.2">
      <c r="A187" s="32"/>
      <c r="B187" s="36"/>
      <c r="C187" s="173"/>
      <c r="D187" s="32"/>
      <c r="E187" s="32"/>
      <c r="F187" s="32"/>
      <c r="G187" s="32"/>
      <c r="H187" s="37"/>
      <c r="I187" s="37"/>
      <c r="J187" s="37"/>
      <c r="K187" s="37"/>
      <c r="L187" s="37"/>
      <c r="M187" s="34"/>
    </row>
    <row r="188" spans="1:13" x14ac:dyDescent="0.2">
      <c r="A188" s="32"/>
      <c r="B188" s="36"/>
      <c r="C188" s="173"/>
      <c r="D188" s="32"/>
      <c r="E188" s="32"/>
      <c r="F188" s="32"/>
      <c r="G188" s="32"/>
      <c r="H188" s="37"/>
      <c r="I188" s="37"/>
      <c r="J188" s="37"/>
      <c r="K188" s="37"/>
      <c r="L188" s="37"/>
      <c r="M188" s="34"/>
    </row>
    <row r="189" spans="1:13" x14ac:dyDescent="0.2">
      <c r="A189" s="32"/>
      <c r="B189" s="36"/>
      <c r="C189" s="173"/>
      <c r="D189" s="32"/>
      <c r="E189" s="32"/>
      <c r="F189" s="32"/>
      <c r="G189" s="32"/>
      <c r="H189" s="37"/>
      <c r="I189" s="37"/>
      <c r="J189" s="37"/>
      <c r="K189" s="37"/>
      <c r="L189" s="37"/>
      <c r="M189" s="34"/>
    </row>
    <row r="190" spans="1:13" x14ac:dyDescent="0.2">
      <c r="A190" s="32"/>
      <c r="B190" s="36"/>
      <c r="C190" s="173"/>
      <c r="D190" s="32"/>
      <c r="E190" s="32"/>
      <c r="F190" s="32"/>
      <c r="G190" s="32"/>
      <c r="H190" s="37"/>
      <c r="I190" s="37"/>
      <c r="J190" s="37"/>
      <c r="K190" s="37"/>
      <c r="L190" s="37"/>
      <c r="M190" s="34"/>
    </row>
    <row r="191" spans="1:13" x14ac:dyDescent="0.2">
      <c r="A191" s="32"/>
      <c r="B191" s="36"/>
      <c r="C191" s="173"/>
      <c r="D191" s="32"/>
      <c r="E191" s="32"/>
      <c r="F191" s="32"/>
      <c r="G191" s="32"/>
      <c r="H191" s="37"/>
      <c r="I191" s="37"/>
      <c r="J191" s="37"/>
      <c r="K191" s="37"/>
      <c r="L191" s="37"/>
      <c r="M191" s="34"/>
    </row>
    <row r="192" spans="1:13" x14ac:dyDescent="0.2">
      <c r="A192" s="32"/>
      <c r="B192" s="36"/>
      <c r="C192" s="173"/>
      <c r="D192" s="32"/>
      <c r="E192" s="32"/>
      <c r="F192" s="32"/>
      <c r="G192" s="32"/>
      <c r="H192" s="37"/>
      <c r="I192" s="37"/>
      <c r="J192" s="37"/>
      <c r="K192" s="37"/>
      <c r="L192" s="37"/>
      <c r="M192" s="34"/>
    </row>
    <row r="193" spans="1:13" x14ac:dyDescent="0.2">
      <c r="A193" s="32"/>
      <c r="B193" s="36"/>
      <c r="C193" s="173"/>
      <c r="D193" s="32"/>
      <c r="E193" s="32"/>
      <c r="F193" s="32"/>
      <c r="G193" s="32"/>
      <c r="H193" s="37"/>
      <c r="I193" s="37"/>
      <c r="J193" s="37"/>
      <c r="K193" s="37"/>
      <c r="L193" s="37"/>
      <c r="M193" s="34"/>
    </row>
    <row r="194" spans="1:13" x14ac:dyDescent="0.2">
      <c r="A194" s="32"/>
      <c r="B194" s="36"/>
      <c r="C194" s="173"/>
      <c r="D194" s="32"/>
      <c r="E194" s="32"/>
      <c r="F194" s="32"/>
      <c r="G194" s="32"/>
      <c r="H194" s="37"/>
      <c r="I194" s="37"/>
      <c r="J194" s="37"/>
      <c r="K194" s="37"/>
      <c r="L194" s="37"/>
      <c r="M194" s="34"/>
    </row>
    <row r="195" spans="1:13" x14ac:dyDescent="0.2">
      <c r="A195" s="32"/>
      <c r="B195" s="36"/>
      <c r="C195" s="173"/>
      <c r="D195" s="32"/>
      <c r="E195" s="32"/>
      <c r="F195" s="32"/>
      <c r="G195" s="32"/>
      <c r="H195" s="37"/>
      <c r="I195" s="37"/>
      <c r="J195" s="37"/>
      <c r="K195" s="37"/>
      <c r="L195" s="37"/>
      <c r="M195" s="34"/>
    </row>
    <row r="196" spans="1:13" x14ac:dyDescent="0.2">
      <c r="A196" s="32"/>
      <c r="B196" s="36"/>
      <c r="C196" s="173"/>
      <c r="D196" s="32"/>
      <c r="E196" s="32"/>
      <c r="F196" s="32"/>
      <c r="G196" s="32"/>
      <c r="H196" s="37"/>
      <c r="I196" s="37"/>
      <c r="J196" s="37"/>
      <c r="K196" s="37"/>
      <c r="L196" s="37"/>
      <c r="M196" s="34"/>
    </row>
    <row r="197" spans="1:13" x14ac:dyDescent="0.2">
      <c r="A197" s="32"/>
      <c r="B197" s="36"/>
      <c r="C197" s="173"/>
      <c r="D197" s="32"/>
      <c r="E197" s="32"/>
      <c r="F197" s="32"/>
      <c r="G197" s="32"/>
      <c r="H197" s="37"/>
      <c r="I197" s="37"/>
      <c r="J197" s="37"/>
      <c r="K197" s="37"/>
      <c r="L197" s="37"/>
      <c r="M197" s="34"/>
    </row>
    <row r="198" spans="1:13" x14ac:dyDescent="0.2">
      <c r="A198" s="32"/>
      <c r="B198" s="36"/>
      <c r="C198" s="173"/>
      <c r="D198" s="32"/>
      <c r="E198" s="32"/>
      <c r="F198" s="32"/>
      <c r="G198" s="32"/>
      <c r="H198" s="37"/>
      <c r="I198" s="37"/>
      <c r="J198" s="37"/>
      <c r="K198" s="37"/>
      <c r="L198" s="37"/>
      <c r="M198" s="34"/>
    </row>
  </sheetData>
  <autoFilter ref="A3:Q3" xr:uid="{D04AD6B9-8691-3048-9E8D-EE88471C4A91}">
    <sortState xmlns:xlrd2="http://schemas.microsoft.com/office/spreadsheetml/2017/richdata2" ref="A4:Q156">
      <sortCondition ref="C3:C156"/>
    </sortState>
  </autoFilter>
  <mergeCells count="1">
    <mergeCell ref="A1:Q1"/>
  </mergeCells>
  <pageMargins left="0.7" right="0.7" top="0.75" bottom="0.75" header="0.3" footer="0.3"/>
  <pageSetup paperSize="9" scale="71" fitToHeight="4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1F73-51D7-A442-B58E-69F6C1DD6729}">
  <sheetPr>
    <pageSetUpPr fitToPage="1"/>
  </sheetPr>
  <dimension ref="A1:N44"/>
  <sheetViews>
    <sheetView topLeftCell="A2" zoomScale="90" zoomScaleNormal="90" workbookViewId="0">
      <selection activeCell="A29" sqref="A29:XFD29"/>
    </sheetView>
  </sheetViews>
  <sheetFormatPr baseColWidth="10" defaultColWidth="10.83203125" defaultRowHeight="14" x14ac:dyDescent="0.15"/>
  <cols>
    <col min="1" max="1" width="9.1640625" style="40" bestFit="1" customWidth="1"/>
    <col min="2" max="3" width="12" style="40" customWidth="1"/>
    <col min="4" max="4" width="52.5" style="40" bestFit="1" customWidth="1"/>
    <col min="5" max="5" width="13.1640625" style="40" customWidth="1"/>
    <col min="6" max="6" width="13.1640625" style="40" bestFit="1" customWidth="1"/>
    <col min="7" max="7" width="32.83203125" style="40" hidden="1" customWidth="1"/>
    <col min="8" max="8" width="121.1640625" style="40" hidden="1" customWidth="1"/>
    <col min="9" max="9" width="17.33203125" style="40" bestFit="1" customWidth="1"/>
    <col min="10" max="10" width="8.83203125" style="40" customWidth="1"/>
    <col min="11" max="11" width="14.33203125" style="40" customWidth="1"/>
    <col min="12" max="12" width="11.6640625" style="40" customWidth="1"/>
    <col min="13" max="13" width="21.83203125" style="40" bestFit="1" customWidth="1"/>
    <col min="14" max="14" width="65.6640625" style="40" bestFit="1" customWidth="1"/>
    <col min="15" max="16384" width="10.83203125" style="40"/>
  </cols>
  <sheetData>
    <row r="1" spans="1:14" ht="18" x14ac:dyDescent="0.15">
      <c r="A1" s="161" t="s">
        <v>500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</row>
    <row r="2" spans="1:14" ht="76" x14ac:dyDescent="0.15">
      <c r="A2" s="53" t="s">
        <v>501</v>
      </c>
      <c r="B2" s="53" t="s">
        <v>502</v>
      </c>
      <c r="C2" s="53"/>
      <c r="D2" s="53" t="s">
        <v>503</v>
      </c>
      <c r="E2" s="53" t="s">
        <v>504</v>
      </c>
      <c r="F2" s="53" t="s">
        <v>6</v>
      </c>
      <c r="G2" s="53" t="s">
        <v>4</v>
      </c>
      <c r="H2" s="53" t="s">
        <v>505</v>
      </c>
      <c r="I2" s="53" t="s">
        <v>7</v>
      </c>
      <c r="J2" s="53" t="s">
        <v>506</v>
      </c>
      <c r="K2" s="53" t="s">
        <v>507</v>
      </c>
      <c r="L2" s="53" t="s">
        <v>508</v>
      </c>
      <c r="M2" s="53" t="s">
        <v>509</v>
      </c>
    </row>
    <row r="3" spans="1:14" ht="18" x14ac:dyDescent="0.15">
      <c r="A3" s="53"/>
      <c r="B3" s="206"/>
      <c r="C3" s="206"/>
      <c r="D3" s="53"/>
      <c r="E3" s="53"/>
      <c r="F3" s="53"/>
      <c r="G3" s="206"/>
      <c r="H3" s="206"/>
      <c r="I3" s="206"/>
      <c r="J3" s="53"/>
      <c r="K3" s="53"/>
      <c r="L3" s="53"/>
      <c r="M3" s="53"/>
    </row>
    <row r="4" spans="1:14" ht="19" x14ac:dyDescent="0.15">
      <c r="A4" s="52">
        <v>13</v>
      </c>
      <c r="B4" s="209">
        <v>20</v>
      </c>
      <c r="C4" s="209">
        <v>3</v>
      </c>
      <c r="D4" s="87" t="s">
        <v>555</v>
      </c>
      <c r="E4" s="79" t="s">
        <v>545</v>
      </c>
      <c r="F4" s="6">
        <v>178</v>
      </c>
      <c r="G4" s="210" t="s">
        <v>556</v>
      </c>
      <c r="H4" s="81" t="s">
        <v>557</v>
      </c>
      <c r="I4" s="82">
        <v>639</v>
      </c>
      <c r="J4" s="88">
        <f>I4/100</f>
        <v>6.39</v>
      </c>
      <c r="K4" s="88">
        <v>678</v>
      </c>
      <c r="L4" s="87"/>
      <c r="M4" s="85">
        <f>J4*100000</f>
        <v>639000</v>
      </c>
    </row>
    <row r="5" spans="1:14" ht="19" x14ac:dyDescent="0.15">
      <c r="A5" s="52">
        <v>14</v>
      </c>
      <c r="B5" s="187">
        <v>22</v>
      </c>
      <c r="C5" s="187">
        <v>3</v>
      </c>
      <c r="D5" s="90" t="s">
        <v>558</v>
      </c>
      <c r="E5" s="79" t="s">
        <v>545</v>
      </c>
      <c r="F5" s="6">
        <v>178</v>
      </c>
      <c r="G5" s="87" t="s">
        <v>559</v>
      </c>
      <c r="H5" s="86" t="s">
        <v>560</v>
      </c>
      <c r="I5" s="84"/>
      <c r="J5" s="88">
        <f>I5/100</f>
        <v>0</v>
      </c>
      <c r="K5" s="88">
        <v>67</v>
      </c>
      <c r="L5" s="87"/>
      <c r="M5" s="85">
        <f>K5*1000</f>
        <v>67000</v>
      </c>
    </row>
    <row r="6" spans="1:14" s="57" customFormat="1" ht="18" x14ac:dyDescent="0.15">
      <c r="A6" s="52"/>
      <c r="B6" s="187"/>
      <c r="C6" s="187"/>
      <c r="D6" s="212"/>
      <c r="E6" s="53"/>
      <c r="F6" s="3"/>
      <c r="G6" s="52"/>
      <c r="H6" s="213"/>
      <c r="I6" s="135">
        <f>SUM(I4:I5)</f>
        <v>639</v>
      </c>
      <c r="J6" s="135">
        <f t="shared" ref="J6:M6" si="0">SUM(J4:J5)</f>
        <v>6.39</v>
      </c>
      <c r="K6" s="135">
        <f t="shared" si="0"/>
        <v>745</v>
      </c>
      <c r="L6" s="135">
        <f t="shared" si="0"/>
        <v>0</v>
      </c>
      <c r="M6" s="135">
        <f t="shared" si="0"/>
        <v>706000</v>
      </c>
    </row>
    <row r="7" spans="1:14" ht="19" x14ac:dyDescent="0.15">
      <c r="A7" s="52">
        <v>15</v>
      </c>
      <c r="B7" s="52">
        <v>23</v>
      </c>
      <c r="C7" s="52">
        <v>4</v>
      </c>
      <c r="D7" s="87" t="s">
        <v>561</v>
      </c>
      <c r="E7" s="79" t="s">
        <v>545</v>
      </c>
      <c r="F7" s="6">
        <v>178</v>
      </c>
      <c r="G7" s="87" t="s">
        <v>562</v>
      </c>
      <c r="H7" s="86" t="s">
        <v>563</v>
      </c>
      <c r="I7" s="84">
        <v>1045</v>
      </c>
      <c r="J7" s="88">
        <f>I7/100</f>
        <v>10.45</v>
      </c>
      <c r="K7" s="88">
        <v>892</v>
      </c>
      <c r="L7" s="87"/>
      <c r="M7" s="85">
        <f>J7*100000</f>
        <v>1044999.9999999999</v>
      </c>
    </row>
    <row r="8" spans="1:14" s="57" customFormat="1" ht="18" x14ac:dyDescent="0.15">
      <c r="A8" s="52"/>
      <c r="B8" s="52"/>
      <c r="C8" s="52"/>
      <c r="D8" s="52"/>
      <c r="E8" s="53"/>
      <c r="F8" s="3"/>
      <c r="G8" s="52"/>
      <c r="H8" s="213"/>
      <c r="I8" s="135">
        <f>SUM(I7)</f>
        <v>1045</v>
      </c>
      <c r="J8" s="135">
        <f t="shared" ref="J8:M8" si="1">SUM(J7)</f>
        <v>10.45</v>
      </c>
      <c r="K8" s="135">
        <f t="shared" si="1"/>
        <v>892</v>
      </c>
      <c r="L8" s="135">
        <f t="shared" si="1"/>
        <v>0</v>
      </c>
      <c r="M8" s="135">
        <f t="shared" si="1"/>
        <v>1044999.9999999999</v>
      </c>
    </row>
    <row r="9" spans="1:14" ht="38" x14ac:dyDescent="0.15">
      <c r="A9" s="52">
        <v>9</v>
      </c>
      <c r="B9" s="52">
        <v>157</v>
      </c>
      <c r="C9" s="52">
        <v>5</v>
      </c>
      <c r="D9" s="79" t="s">
        <v>541</v>
      </c>
      <c r="E9" s="6" t="s">
        <v>538</v>
      </c>
      <c r="F9" s="6">
        <v>34</v>
      </c>
      <c r="G9" s="79" t="s">
        <v>542</v>
      </c>
      <c r="H9" s="86" t="s">
        <v>543</v>
      </c>
      <c r="I9" s="84">
        <v>1000</v>
      </c>
      <c r="J9" s="83">
        <f>I9/100</f>
        <v>10</v>
      </c>
      <c r="K9" s="83"/>
      <c r="L9" s="84">
        <v>7</v>
      </c>
      <c r="M9" s="85">
        <f>J9*100000</f>
        <v>1000000</v>
      </c>
    </row>
    <row r="10" spans="1:14" ht="20.25" customHeight="1" x14ac:dyDescent="0.15">
      <c r="A10" s="52">
        <v>10</v>
      </c>
      <c r="B10" s="52">
        <v>158</v>
      </c>
      <c r="C10" s="52">
        <v>5</v>
      </c>
      <c r="D10" s="79" t="s">
        <v>544</v>
      </c>
      <c r="E10" s="6" t="s">
        <v>545</v>
      </c>
      <c r="F10" s="6"/>
      <c r="G10" s="79" t="s">
        <v>546</v>
      </c>
      <c r="H10" s="86" t="s">
        <v>547</v>
      </c>
      <c r="I10" s="84">
        <v>333</v>
      </c>
      <c r="J10" s="83">
        <f>I10/100</f>
        <v>3.33</v>
      </c>
      <c r="K10" s="83"/>
      <c r="L10" s="84"/>
      <c r="M10" s="85">
        <f>J10*100000</f>
        <v>333000</v>
      </c>
    </row>
    <row r="11" spans="1:14" ht="19" x14ac:dyDescent="0.15">
      <c r="A11" s="52">
        <v>11</v>
      </c>
      <c r="B11" s="52">
        <v>159</v>
      </c>
      <c r="C11" s="52">
        <v>5</v>
      </c>
      <c r="D11" s="79" t="s">
        <v>548</v>
      </c>
      <c r="E11" s="6" t="s">
        <v>538</v>
      </c>
      <c r="F11" s="6">
        <v>34</v>
      </c>
      <c r="G11" s="79" t="s">
        <v>549</v>
      </c>
      <c r="H11" s="86" t="s">
        <v>550</v>
      </c>
      <c r="I11" s="84">
        <v>4285</v>
      </c>
      <c r="J11" s="83">
        <f>I11/100</f>
        <v>42.85</v>
      </c>
      <c r="K11" s="83"/>
      <c r="L11" s="84"/>
      <c r="M11" s="85">
        <f>J11*100000</f>
        <v>4285000</v>
      </c>
    </row>
    <row r="12" spans="1:14" ht="19" x14ac:dyDescent="0.15">
      <c r="A12" s="52">
        <v>18</v>
      </c>
      <c r="B12" s="52">
        <v>2</v>
      </c>
      <c r="C12" s="52">
        <v>5</v>
      </c>
      <c r="D12" s="79" t="s">
        <v>564</v>
      </c>
      <c r="E12" s="6" t="s">
        <v>538</v>
      </c>
      <c r="F12" s="6">
        <v>34</v>
      </c>
      <c r="G12" s="79" t="s">
        <v>565</v>
      </c>
      <c r="H12" s="86" t="s">
        <v>566</v>
      </c>
      <c r="I12" s="84">
        <v>42507</v>
      </c>
      <c r="J12" s="89">
        <f>I12/100</f>
        <v>425.07</v>
      </c>
      <c r="K12" s="89"/>
      <c r="L12" s="87"/>
      <c r="M12" s="85">
        <v>8000000</v>
      </c>
      <c r="N12" s="96"/>
    </row>
    <row r="13" spans="1:14" ht="19" x14ac:dyDescent="0.15">
      <c r="A13" s="52">
        <v>19</v>
      </c>
      <c r="B13" s="52">
        <v>1</v>
      </c>
      <c r="C13" s="52">
        <v>5</v>
      </c>
      <c r="D13" s="79" t="s">
        <v>567</v>
      </c>
      <c r="E13" s="6" t="s">
        <v>538</v>
      </c>
      <c r="F13" s="6">
        <v>30</v>
      </c>
      <c r="G13" s="79" t="s">
        <v>568</v>
      </c>
      <c r="H13" s="86" t="s">
        <v>569</v>
      </c>
      <c r="I13" s="84">
        <v>14394</v>
      </c>
      <c r="J13" s="89">
        <f>I13/100</f>
        <v>143.94</v>
      </c>
      <c r="K13" s="89"/>
      <c r="L13" s="87"/>
      <c r="M13" s="85">
        <v>7000000</v>
      </c>
      <c r="N13" s="96"/>
    </row>
    <row r="14" spans="1:14" s="57" customFormat="1" ht="18" x14ac:dyDescent="0.15">
      <c r="A14" s="52"/>
      <c r="B14" s="52"/>
      <c r="C14" s="52"/>
      <c r="D14" s="53"/>
      <c r="E14" s="3"/>
      <c r="F14" s="3"/>
      <c r="G14" s="53"/>
      <c r="H14" s="213"/>
      <c r="I14" s="135">
        <f>SUM(I9:I13)</f>
        <v>62519</v>
      </c>
      <c r="J14" s="135">
        <f t="shared" ref="J14:L14" si="2">SUM(J9:J13)</f>
        <v>625.19000000000005</v>
      </c>
      <c r="K14" s="135">
        <f t="shared" si="2"/>
        <v>0</v>
      </c>
      <c r="L14" s="135">
        <f t="shared" si="2"/>
        <v>7</v>
      </c>
      <c r="M14" s="135">
        <f>SUM(M9:M13)</f>
        <v>20618000</v>
      </c>
      <c r="N14" s="214"/>
    </row>
    <row r="15" spans="1:14" ht="19" x14ac:dyDescent="0.15">
      <c r="A15" s="52">
        <v>16</v>
      </c>
      <c r="B15" s="52"/>
      <c r="C15" s="52">
        <v>8</v>
      </c>
      <c r="D15" s="87" t="s">
        <v>634</v>
      </c>
      <c r="E15" s="79" t="s">
        <v>635</v>
      </c>
      <c r="F15" s="6" t="s">
        <v>636</v>
      </c>
      <c r="G15" s="87"/>
      <c r="H15" s="86"/>
      <c r="I15" s="84">
        <v>436</v>
      </c>
      <c r="J15" s="88">
        <f>I15/100</f>
        <v>4.3600000000000003</v>
      </c>
      <c r="K15" s="88">
        <v>175</v>
      </c>
      <c r="L15" s="87"/>
      <c r="M15" s="85">
        <f>J15*100000</f>
        <v>436000.00000000006</v>
      </c>
    </row>
    <row r="16" spans="1:14" ht="19" x14ac:dyDescent="0.15">
      <c r="A16" s="52">
        <v>17</v>
      </c>
      <c r="B16" s="52"/>
      <c r="C16" s="52">
        <v>8</v>
      </c>
      <c r="D16" s="87" t="s">
        <v>637</v>
      </c>
      <c r="E16" s="79" t="s">
        <v>635</v>
      </c>
      <c r="F16" s="6" t="s">
        <v>638</v>
      </c>
      <c r="G16" s="87"/>
      <c r="H16" s="86"/>
      <c r="I16" s="84">
        <v>662</v>
      </c>
      <c r="J16" s="88">
        <f>I16/100</f>
        <v>6.62</v>
      </c>
      <c r="K16" s="88">
        <v>217</v>
      </c>
      <c r="L16" s="87"/>
      <c r="M16" s="85">
        <f>J16*100000</f>
        <v>662000</v>
      </c>
    </row>
    <row r="17" spans="1:13" s="57" customFormat="1" ht="18" x14ac:dyDescent="0.15">
      <c r="A17" s="52"/>
      <c r="B17" s="52"/>
      <c r="C17" s="52"/>
      <c r="D17" s="52"/>
      <c r="E17" s="53"/>
      <c r="F17" s="3"/>
      <c r="G17" s="52"/>
      <c r="H17" s="213"/>
      <c r="I17" s="135">
        <f>SUM(I15:I16)</f>
        <v>1098</v>
      </c>
      <c r="J17" s="135">
        <f t="shared" ref="J17:M17" si="3">SUM(J15:J16)</f>
        <v>10.98</v>
      </c>
      <c r="K17" s="135">
        <f t="shared" si="3"/>
        <v>392</v>
      </c>
      <c r="L17" s="135">
        <f t="shared" si="3"/>
        <v>0</v>
      </c>
      <c r="M17" s="135">
        <f t="shared" si="3"/>
        <v>1098000</v>
      </c>
    </row>
    <row r="18" spans="1:13" ht="19" x14ac:dyDescent="0.15">
      <c r="A18" s="52">
        <v>8</v>
      </c>
      <c r="B18" s="52">
        <v>155</v>
      </c>
      <c r="C18" s="52">
        <v>9</v>
      </c>
      <c r="D18" s="79" t="s">
        <v>537</v>
      </c>
      <c r="E18" s="6" t="s">
        <v>538</v>
      </c>
      <c r="F18" s="6">
        <v>42</v>
      </c>
      <c r="G18" s="79" t="s">
        <v>539</v>
      </c>
      <c r="H18" s="86" t="s">
        <v>540</v>
      </c>
      <c r="I18" s="84">
        <v>2328</v>
      </c>
      <c r="J18" s="83">
        <f>I18/100</f>
        <v>23.28</v>
      </c>
      <c r="K18" s="83"/>
      <c r="L18" s="84"/>
      <c r="M18" s="85">
        <f>J18*100000</f>
        <v>2328000</v>
      </c>
    </row>
    <row r="19" spans="1:13" s="57" customFormat="1" ht="18" x14ac:dyDescent="0.15">
      <c r="A19" s="52"/>
      <c r="B19" s="52"/>
      <c r="C19" s="52"/>
      <c r="D19" s="53"/>
      <c r="E19" s="3"/>
      <c r="F19" s="3"/>
      <c r="G19" s="53"/>
      <c r="H19" s="213"/>
      <c r="I19" s="135">
        <f>SUM(I18)</f>
        <v>2328</v>
      </c>
      <c r="J19" s="135">
        <f t="shared" ref="J19:M19" si="4">SUM(J18)</f>
        <v>23.28</v>
      </c>
      <c r="K19" s="135">
        <f t="shared" si="4"/>
        <v>0</v>
      </c>
      <c r="L19" s="135">
        <f t="shared" si="4"/>
        <v>0</v>
      </c>
      <c r="M19" s="135">
        <f t="shared" si="4"/>
        <v>2328000</v>
      </c>
    </row>
    <row r="20" spans="1:13" ht="19" x14ac:dyDescent="0.15">
      <c r="A20" s="52">
        <v>2</v>
      </c>
      <c r="B20" s="52">
        <v>136</v>
      </c>
      <c r="C20" s="52">
        <v>12</v>
      </c>
      <c r="D20" s="79" t="s">
        <v>514</v>
      </c>
      <c r="E20" s="6" t="s">
        <v>515</v>
      </c>
      <c r="F20" s="6" t="s">
        <v>516</v>
      </c>
      <c r="G20" s="79" t="s">
        <v>517</v>
      </c>
      <c r="H20" s="86" t="s">
        <v>518</v>
      </c>
      <c r="I20" s="84">
        <v>211</v>
      </c>
      <c r="J20" s="83">
        <f>I20/100</f>
        <v>2.11</v>
      </c>
      <c r="K20" s="83"/>
      <c r="L20" s="84"/>
      <c r="M20" s="85">
        <f>J20*100000</f>
        <v>211000</v>
      </c>
    </row>
    <row r="21" spans="1:13" ht="21.5" customHeight="1" x14ac:dyDescent="0.15">
      <c r="A21" s="52">
        <v>3</v>
      </c>
      <c r="B21" s="52">
        <v>137</v>
      </c>
      <c r="C21" s="52">
        <v>12</v>
      </c>
      <c r="D21" s="79" t="s">
        <v>519</v>
      </c>
      <c r="E21" s="6" t="s">
        <v>515</v>
      </c>
      <c r="F21" s="6" t="s">
        <v>516</v>
      </c>
      <c r="G21" s="79" t="s">
        <v>520</v>
      </c>
      <c r="H21" s="86" t="s">
        <v>521</v>
      </c>
      <c r="I21" s="84">
        <v>3663</v>
      </c>
      <c r="J21" s="83">
        <f>I21/100</f>
        <v>36.630000000000003</v>
      </c>
      <c r="K21" s="83"/>
      <c r="L21" s="84"/>
      <c r="M21" s="85">
        <f>J21*100000</f>
        <v>3663000.0000000005</v>
      </c>
    </row>
    <row r="22" spans="1:13" ht="19" x14ac:dyDescent="0.15">
      <c r="A22" s="52">
        <v>4</v>
      </c>
      <c r="B22" s="52">
        <v>138</v>
      </c>
      <c r="C22" s="52">
        <v>12</v>
      </c>
      <c r="D22" s="79" t="s">
        <v>522</v>
      </c>
      <c r="E22" s="6" t="s">
        <v>515</v>
      </c>
      <c r="F22" s="6" t="s">
        <v>523</v>
      </c>
      <c r="G22" s="79" t="s">
        <v>524</v>
      </c>
      <c r="H22" s="86" t="s">
        <v>525</v>
      </c>
      <c r="I22" s="84">
        <v>1751</v>
      </c>
      <c r="J22" s="83">
        <f>I22/100</f>
        <v>17.510000000000002</v>
      </c>
      <c r="K22" s="83"/>
      <c r="L22" s="84"/>
      <c r="M22" s="85">
        <f>J22*100000</f>
        <v>1751000.0000000002</v>
      </c>
    </row>
    <row r="23" spans="1:13" ht="19" x14ac:dyDescent="0.15">
      <c r="A23" s="52">
        <v>5</v>
      </c>
      <c r="B23" s="52">
        <v>139</v>
      </c>
      <c r="C23" s="52">
        <v>12</v>
      </c>
      <c r="D23" s="79" t="s">
        <v>526</v>
      </c>
      <c r="E23" s="6" t="s">
        <v>515</v>
      </c>
      <c r="F23" s="6" t="s">
        <v>516</v>
      </c>
      <c r="G23" s="79" t="s">
        <v>527</v>
      </c>
      <c r="H23" s="86" t="s">
        <v>528</v>
      </c>
      <c r="I23" s="84">
        <v>516</v>
      </c>
      <c r="J23" s="83">
        <f>I23/100</f>
        <v>5.16</v>
      </c>
      <c r="K23" s="83"/>
      <c r="L23" s="84"/>
      <c r="M23" s="85">
        <f>J23*100000</f>
        <v>516000</v>
      </c>
    </row>
    <row r="24" spans="1:13" ht="18" customHeight="1" x14ac:dyDescent="0.15">
      <c r="A24" s="52">
        <v>6</v>
      </c>
      <c r="B24" s="52">
        <v>140</v>
      </c>
      <c r="C24" s="52">
        <v>12</v>
      </c>
      <c r="D24" s="79" t="s">
        <v>529</v>
      </c>
      <c r="E24" s="6" t="s">
        <v>515</v>
      </c>
      <c r="F24" s="6" t="s">
        <v>516</v>
      </c>
      <c r="G24" s="79" t="s">
        <v>530</v>
      </c>
      <c r="H24" s="86" t="s">
        <v>531</v>
      </c>
      <c r="I24" s="84">
        <v>2152</v>
      </c>
      <c r="J24" s="83">
        <f>I24/100</f>
        <v>21.52</v>
      </c>
      <c r="K24" s="83"/>
      <c r="L24" s="84"/>
      <c r="M24" s="85">
        <f>J24*100000</f>
        <v>2152000</v>
      </c>
    </row>
    <row r="25" spans="1:13" ht="18" customHeight="1" x14ac:dyDescent="0.15">
      <c r="A25" s="52">
        <v>12</v>
      </c>
      <c r="B25" s="52">
        <v>160</v>
      </c>
      <c r="C25" s="52">
        <v>12</v>
      </c>
      <c r="D25" s="79" t="s">
        <v>551</v>
      </c>
      <c r="E25" s="6" t="s">
        <v>515</v>
      </c>
      <c r="F25" s="6" t="s">
        <v>552</v>
      </c>
      <c r="G25" s="79" t="s">
        <v>553</v>
      </c>
      <c r="H25" s="86" t="s">
        <v>554</v>
      </c>
      <c r="I25" s="84">
        <v>3600</v>
      </c>
      <c r="J25" s="83">
        <f>I25/100</f>
        <v>36</v>
      </c>
      <c r="K25" s="83"/>
      <c r="L25" s="84"/>
      <c r="M25" s="85">
        <f>J25*100000</f>
        <v>3600000</v>
      </c>
    </row>
    <row r="26" spans="1:13" s="57" customFormat="1" ht="18" customHeight="1" x14ac:dyDescent="0.15">
      <c r="A26" s="52"/>
      <c r="B26" s="52"/>
      <c r="C26" s="52"/>
      <c r="D26" s="53"/>
      <c r="E26" s="3"/>
      <c r="F26" s="3"/>
      <c r="G26" s="53"/>
      <c r="H26" s="213"/>
      <c r="I26" s="135">
        <f>SUM(I20:I25)</f>
        <v>11893</v>
      </c>
      <c r="J26" s="135">
        <f t="shared" ref="J26:M26" si="5">SUM(J20:J25)</f>
        <v>118.92999999999999</v>
      </c>
      <c r="K26" s="135">
        <f t="shared" si="5"/>
        <v>0</v>
      </c>
      <c r="L26" s="135">
        <f t="shared" si="5"/>
        <v>0</v>
      </c>
      <c r="M26" s="135">
        <f t="shared" si="5"/>
        <v>11893000</v>
      </c>
    </row>
    <row r="27" spans="1:13" ht="38" x14ac:dyDescent="0.15">
      <c r="A27" s="52">
        <v>1</v>
      </c>
      <c r="B27" s="52">
        <v>134</v>
      </c>
      <c r="C27" s="52">
        <v>14</v>
      </c>
      <c r="D27" s="79" t="s">
        <v>510</v>
      </c>
      <c r="E27" s="6" t="s">
        <v>511</v>
      </c>
      <c r="F27" s="6"/>
      <c r="G27" s="79" t="s">
        <v>512</v>
      </c>
      <c r="H27" s="86" t="s">
        <v>513</v>
      </c>
      <c r="I27" s="84">
        <v>1150</v>
      </c>
      <c r="J27" s="83">
        <f>I27/100</f>
        <v>11.5</v>
      </c>
      <c r="K27" s="83"/>
      <c r="L27" s="84"/>
      <c r="M27" s="85">
        <f>J27*100000</f>
        <v>1150000</v>
      </c>
    </row>
    <row r="28" spans="1:13" s="57" customFormat="1" ht="18" x14ac:dyDescent="0.15">
      <c r="A28" s="52"/>
      <c r="B28" s="52"/>
      <c r="C28" s="52"/>
      <c r="D28" s="53"/>
      <c r="E28" s="3"/>
      <c r="F28" s="3"/>
      <c r="G28" s="53"/>
      <c r="H28" s="213"/>
      <c r="I28" s="135">
        <f>SUM(I27)</f>
        <v>1150</v>
      </c>
      <c r="J28" s="135">
        <f t="shared" ref="J28:M28" si="6">SUM(J27)</f>
        <v>11.5</v>
      </c>
      <c r="K28" s="135">
        <f t="shared" si="6"/>
        <v>0</v>
      </c>
      <c r="L28" s="135">
        <f t="shared" si="6"/>
        <v>0</v>
      </c>
      <c r="M28" s="135">
        <f t="shared" si="6"/>
        <v>1150000</v>
      </c>
    </row>
    <row r="29" spans="1:13" ht="18" x14ac:dyDescent="0.15">
      <c r="A29" s="52"/>
      <c r="B29" s="52"/>
      <c r="C29" s="52"/>
      <c r="D29" s="211"/>
      <c r="E29" s="175"/>
      <c r="F29" s="6"/>
      <c r="G29" s="79"/>
      <c r="H29" s="86"/>
      <c r="I29" s="84"/>
      <c r="J29" s="83"/>
      <c r="K29" s="83"/>
      <c r="L29" s="84"/>
      <c r="M29" s="85"/>
    </row>
    <row r="30" spans="1:13" s="57" customFormat="1" ht="33.5" customHeight="1" x14ac:dyDescent="0.2">
      <c r="A30" s="52"/>
      <c r="B30" s="52"/>
      <c r="C30" s="52"/>
      <c r="D30" s="207" t="s">
        <v>83</v>
      </c>
      <c r="E30" s="208"/>
      <c r="F30" s="53"/>
      <c r="G30" s="52"/>
      <c r="H30" s="54"/>
      <c r="I30" s="55">
        <f ca="1">SUM(I4:I39)</f>
        <v>24573</v>
      </c>
      <c r="J30" s="56">
        <f ca="1">SUM(J4:J39)</f>
        <v>245.73</v>
      </c>
      <c r="K30" s="56"/>
      <c r="L30" s="55">
        <f ca="1">SUM(L4:L39)</f>
        <v>117</v>
      </c>
      <c r="M30" s="95">
        <f>SUM(M4:M28)</f>
        <v>77676000</v>
      </c>
    </row>
    <row r="32" spans="1:13" x14ac:dyDescent="0.15">
      <c r="A32" s="40" t="s">
        <v>612</v>
      </c>
    </row>
    <row r="33" spans="1:14" ht="30" x14ac:dyDescent="0.15">
      <c r="A33" s="41" t="s">
        <v>501</v>
      </c>
      <c r="B33" s="41" t="s">
        <v>502</v>
      </c>
      <c r="C33" s="41"/>
      <c r="D33" s="41" t="s">
        <v>503</v>
      </c>
      <c r="E33" s="41" t="s">
        <v>504</v>
      </c>
      <c r="F33" s="41" t="s">
        <v>6</v>
      </c>
      <c r="G33" s="41" t="s">
        <v>4</v>
      </c>
      <c r="H33" s="41" t="s">
        <v>505</v>
      </c>
      <c r="I33" s="41" t="s">
        <v>7</v>
      </c>
      <c r="J33" s="41" t="s">
        <v>506</v>
      </c>
      <c r="K33" s="41"/>
      <c r="L33" s="41" t="s">
        <v>508</v>
      </c>
      <c r="M33" s="41" t="s">
        <v>570</v>
      </c>
    </row>
    <row r="34" spans="1:14" ht="51" x14ac:dyDescent="0.15">
      <c r="A34" s="42">
        <v>19</v>
      </c>
      <c r="B34" s="58">
        <v>21</v>
      </c>
      <c r="C34" s="58"/>
      <c r="D34" s="59" t="s">
        <v>571</v>
      </c>
      <c r="E34" s="60" t="s">
        <v>545</v>
      </c>
      <c r="F34" s="44">
        <v>178</v>
      </c>
      <c r="G34" s="61" t="s">
        <v>572</v>
      </c>
      <c r="H34" s="62" t="s">
        <v>573</v>
      </c>
      <c r="I34" s="63">
        <v>1013</v>
      </c>
      <c r="J34" s="64">
        <f>I34/100</f>
        <v>10.130000000000001</v>
      </c>
      <c r="K34" s="64"/>
      <c r="L34" s="61"/>
      <c r="M34" s="65"/>
      <c r="N34" s="96"/>
    </row>
    <row r="35" spans="1:14" ht="34" x14ac:dyDescent="0.15">
      <c r="A35" s="42">
        <v>20</v>
      </c>
      <c r="B35" s="58">
        <v>24</v>
      </c>
      <c r="C35" s="58"/>
      <c r="D35" s="66" t="s">
        <v>574</v>
      </c>
      <c r="E35" s="60" t="s">
        <v>545</v>
      </c>
      <c r="F35" s="44">
        <v>178</v>
      </c>
      <c r="G35" s="61" t="s">
        <v>575</v>
      </c>
      <c r="H35" s="62" t="s">
        <v>576</v>
      </c>
      <c r="I35" s="63">
        <v>19805</v>
      </c>
      <c r="J35" s="64">
        <f>I35/100</f>
        <v>198.05</v>
      </c>
      <c r="K35" s="64"/>
      <c r="L35" s="61"/>
      <c r="M35" s="65"/>
      <c r="N35" s="96"/>
    </row>
    <row r="36" spans="1:14" ht="16" x14ac:dyDescent="0.15">
      <c r="A36" s="42">
        <v>21</v>
      </c>
      <c r="B36" s="42">
        <v>135</v>
      </c>
      <c r="C36" s="42"/>
      <c r="D36" s="50" t="s">
        <v>577</v>
      </c>
      <c r="E36" s="44" t="s">
        <v>515</v>
      </c>
      <c r="F36" s="44">
        <v>5</v>
      </c>
      <c r="G36" s="43" t="s">
        <v>578</v>
      </c>
      <c r="H36" s="47" t="s">
        <v>579</v>
      </c>
      <c r="I36" s="45">
        <v>1011</v>
      </c>
      <c r="J36" s="51">
        <f t="shared" ref="J36:J37" si="7">I36/100</f>
        <v>10.11</v>
      </c>
      <c r="K36" s="51"/>
      <c r="L36" s="48"/>
      <c r="M36" s="46"/>
    </row>
    <row r="37" spans="1:14" ht="16" x14ac:dyDescent="0.15">
      <c r="A37" s="42">
        <v>22</v>
      </c>
      <c r="B37" s="42">
        <v>156</v>
      </c>
      <c r="C37" s="42"/>
      <c r="D37" s="50" t="s">
        <v>580</v>
      </c>
      <c r="E37" s="44" t="s">
        <v>538</v>
      </c>
      <c r="F37" s="44">
        <v>42</v>
      </c>
      <c r="G37" s="43" t="s">
        <v>581</v>
      </c>
      <c r="H37" s="47" t="s">
        <v>582</v>
      </c>
      <c r="I37" s="45">
        <v>5308</v>
      </c>
      <c r="J37" s="51">
        <f t="shared" si="7"/>
        <v>53.08</v>
      </c>
      <c r="K37" s="51"/>
      <c r="L37" s="48"/>
      <c r="M37" s="46"/>
      <c r="N37" s="96"/>
    </row>
    <row r="38" spans="1:14" ht="16" x14ac:dyDescent="0.15">
      <c r="A38" s="42">
        <v>23</v>
      </c>
      <c r="B38" s="42"/>
      <c r="C38" s="42"/>
      <c r="D38" s="50"/>
      <c r="E38" s="44"/>
      <c r="F38" s="44"/>
      <c r="G38" s="43"/>
      <c r="H38" s="47"/>
      <c r="I38" s="45"/>
      <c r="J38" s="51"/>
      <c r="K38" s="51"/>
      <c r="L38" s="48"/>
      <c r="M38" s="46"/>
    </row>
    <row r="39" spans="1:14" ht="16" hidden="1" x14ac:dyDescent="0.15">
      <c r="A39" s="42">
        <v>1</v>
      </c>
      <c r="B39" s="42">
        <v>28</v>
      </c>
      <c r="C39" s="42"/>
      <c r="D39" s="67" t="s">
        <v>583</v>
      </c>
      <c r="E39" s="44" t="s">
        <v>545</v>
      </c>
      <c r="F39" s="44"/>
      <c r="G39" s="48" t="s">
        <v>584</v>
      </c>
      <c r="H39" s="47" t="s">
        <v>585</v>
      </c>
      <c r="I39" s="45">
        <v>1660</v>
      </c>
      <c r="J39" s="49">
        <f>I39/100</f>
        <v>16.600000000000001</v>
      </c>
      <c r="K39" s="49">
        <v>52</v>
      </c>
      <c r="L39" s="48">
        <v>83</v>
      </c>
      <c r="M39" s="46"/>
    </row>
    <row r="40" spans="1:14" ht="16" hidden="1" x14ac:dyDescent="0.15">
      <c r="A40" s="42">
        <v>2</v>
      </c>
      <c r="B40" s="68">
        <v>7</v>
      </c>
      <c r="C40" s="68"/>
      <c r="D40" s="69" t="s">
        <v>586</v>
      </c>
      <c r="E40" s="70" t="s">
        <v>587</v>
      </c>
      <c r="F40" s="44" t="s">
        <v>588</v>
      </c>
      <c r="G40" s="71" t="s">
        <v>589</v>
      </c>
      <c r="H40" s="72" t="s">
        <v>590</v>
      </c>
      <c r="I40" s="73">
        <v>4144</v>
      </c>
      <c r="J40" s="74">
        <f>I40/100</f>
        <v>41.44</v>
      </c>
      <c r="K40" s="74">
        <v>1791</v>
      </c>
      <c r="L40" s="71"/>
      <c r="M40" s="65"/>
    </row>
    <row r="41" spans="1:14" ht="16" hidden="1" x14ac:dyDescent="0.15">
      <c r="A41" s="42">
        <v>3</v>
      </c>
      <c r="B41" s="75">
        <v>25</v>
      </c>
      <c r="C41" s="75"/>
      <c r="D41" s="69" t="s">
        <v>591</v>
      </c>
      <c r="E41" s="70" t="s">
        <v>545</v>
      </c>
      <c r="F41" s="44">
        <v>178</v>
      </c>
      <c r="G41" s="71" t="s">
        <v>592</v>
      </c>
      <c r="H41" s="72" t="s">
        <v>593</v>
      </c>
      <c r="I41" s="73">
        <v>15000</v>
      </c>
      <c r="J41" s="74">
        <f t="shared" ref="J41:J42" si="8">I41/100</f>
        <v>150</v>
      </c>
      <c r="K41" s="74"/>
      <c r="L41" s="71"/>
      <c r="M41" s="65"/>
    </row>
    <row r="42" spans="1:14" ht="16" hidden="1" x14ac:dyDescent="0.15">
      <c r="A42" s="42">
        <v>4</v>
      </c>
      <c r="B42" s="75">
        <v>27</v>
      </c>
      <c r="C42" s="75"/>
      <c r="D42" s="69" t="s">
        <v>594</v>
      </c>
      <c r="E42" s="44" t="s">
        <v>545</v>
      </c>
      <c r="F42" s="44"/>
      <c r="G42" s="71" t="s">
        <v>595</v>
      </c>
      <c r="H42" s="72" t="s">
        <v>596</v>
      </c>
      <c r="I42" s="73">
        <v>8000</v>
      </c>
      <c r="J42" s="74">
        <f t="shared" si="8"/>
        <v>80</v>
      </c>
      <c r="K42" s="74">
        <v>7628</v>
      </c>
      <c r="L42" s="71"/>
      <c r="M42" s="65"/>
    </row>
    <row r="43" spans="1:14" ht="16" hidden="1" x14ac:dyDescent="0.15">
      <c r="A43" s="42">
        <v>5</v>
      </c>
      <c r="B43" s="42">
        <v>29</v>
      </c>
      <c r="C43" s="42"/>
      <c r="D43" s="67" t="s">
        <v>597</v>
      </c>
      <c r="E43" s="44" t="s">
        <v>538</v>
      </c>
      <c r="F43" s="44">
        <v>251</v>
      </c>
      <c r="G43" s="48" t="s">
        <v>598</v>
      </c>
      <c r="H43" s="47" t="s">
        <v>599</v>
      </c>
      <c r="I43" s="45">
        <v>45200</v>
      </c>
      <c r="J43" s="49">
        <f>I43/100</f>
        <v>452</v>
      </c>
      <c r="K43" s="49"/>
      <c r="L43" s="48"/>
      <c r="M43" s="46"/>
    </row>
    <row r="44" spans="1:14" s="77" customFormat="1" ht="18" x14ac:dyDescent="0.2">
      <c r="A44" s="52">
        <v>23</v>
      </c>
      <c r="B44" s="52"/>
      <c r="C44" s="52"/>
      <c r="D44" s="52" t="s">
        <v>83</v>
      </c>
      <c r="E44" s="44"/>
      <c r="F44" s="44"/>
      <c r="G44" s="52"/>
      <c r="H44" s="54"/>
      <c r="I44" s="55">
        <f ca="1">SUM(I29:I37)</f>
        <v>41531</v>
      </c>
      <c r="J44" s="55">
        <f ca="1">SUM(J29:J37)</f>
        <v>415.31</v>
      </c>
      <c r="K44" s="55"/>
      <c r="L44" s="55">
        <f ca="1">SUM(L29:L37)</f>
        <v>0</v>
      </c>
      <c r="M44" s="76"/>
    </row>
  </sheetData>
  <autoFilter ref="A3:N3" xr:uid="{AA461F73-51D7-A442-B58E-69F6C1DD6729}">
    <sortState xmlns:xlrd2="http://schemas.microsoft.com/office/spreadsheetml/2017/richdata2" ref="A4:N23">
      <sortCondition ref="C3:C23"/>
    </sortState>
  </autoFilter>
  <mergeCells count="1">
    <mergeCell ref="A1:M1"/>
  </mergeCells>
  <pageMargins left="0.7" right="0.7" top="0.75" bottom="0.75" header="0.3" footer="0.3"/>
  <pageSetup paperSize="9" scale="44" orientation="landscape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62C7-99F2-034F-9167-BA89C26BA116}">
  <sheetPr>
    <pageSetUpPr fitToPage="1"/>
  </sheetPr>
  <dimension ref="A1:N36"/>
  <sheetViews>
    <sheetView tabSelected="1" workbookViewId="0">
      <selection activeCell="G37" sqref="G37"/>
    </sheetView>
  </sheetViews>
  <sheetFormatPr baseColWidth="10" defaultColWidth="9" defaultRowHeight="16" x14ac:dyDescent="0.2"/>
  <cols>
    <col min="2" max="2" width="23" customWidth="1"/>
    <col min="3" max="3" width="12.33203125" customWidth="1"/>
    <col min="4" max="4" width="14" customWidth="1"/>
    <col min="5" max="5" width="12.6640625" customWidth="1"/>
    <col min="6" max="6" width="16.1640625" bestFit="1" customWidth="1"/>
    <col min="7" max="7" width="20.33203125" customWidth="1"/>
    <col min="9" max="9" width="23" customWidth="1"/>
    <col min="10" max="10" width="12.33203125" customWidth="1"/>
    <col min="11" max="11" width="14" customWidth="1"/>
    <col min="12" max="12" width="12.6640625" customWidth="1"/>
    <col min="13" max="13" width="16.1640625" bestFit="1" customWidth="1"/>
    <col min="14" max="14" width="20.33203125" customWidth="1"/>
  </cols>
  <sheetData>
    <row r="1" spans="1:14" ht="49" customHeight="1" x14ac:dyDescent="0.2">
      <c r="B1" s="204" t="s">
        <v>632</v>
      </c>
      <c r="C1" s="204"/>
      <c r="D1" s="204"/>
      <c r="E1" s="204"/>
      <c r="F1" s="204"/>
      <c r="G1" s="204"/>
      <c r="H1" s="205"/>
      <c r="I1" s="204" t="s">
        <v>633</v>
      </c>
      <c r="J1" s="204"/>
      <c r="K1" s="204"/>
      <c r="L1" s="204"/>
      <c r="M1" s="204"/>
      <c r="N1" s="204"/>
    </row>
    <row r="2" spans="1:14" s="142" customFormat="1" ht="51" x14ac:dyDescent="0.2">
      <c r="A2" s="153" t="s">
        <v>617</v>
      </c>
      <c r="B2" s="153" t="s">
        <v>625</v>
      </c>
      <c r="C2" s="153" t="s">
        <v>626</v>
      </c>
      <c r="D2" s="153" t="s">
        <v>627</v>
      </c>
      <c r="E2" s="153" t="s">
        <v>628</v>
      </c>
      <c r="F2" s="153" t="s">
        <v>629</v>
      </c>
      <c r="G2" s="153" t="s">
        <v>624</v>
      </c>
      <c r="I2" s="153" t="s">
        <v>625</v>
      </c>
      <c r="J2" s="153" t="s">
        <v>626</v>
      </c>
      <c r="K2" s="153" t="s">
        <v>627</v>
      </c>
      <c r="L2" s="153" t="s">
        <v>628</v>
      </c>
      <c r="M2" s="153" t="s">
        <v>629</v>
      </c>
      <c r="N2" s="153" t="s">
        <v>624</v>
      </c>
    </row>
    <row r="3" spans="1:14" s="143" customFormat="1" ht="19" x14ac:dyDescent="0.2">
      <c r="A3" s="146">
        <v>1</v>
      </c>
      <c r="B3" s="147">
        <f>'Турар Вьетнам карта'!Q8</f>
        <v>8024700</v>
      </c>
      <c r="C3" s="148">
        <v>6900</v>
      </c>
      <c r="D3" s="147">
        <f>B3/C3</f>
        <v>1163</v>
      </c>
      <c r="E3" s="148">
        <v>800</v>
      </c>
      <c r="F3" s="148">
        <f>C3*E3</f>
        <v>5520000</v>
      </c>
      <c r="G3" s="151">
        <f>F3-B3</f>
        <v>-2504700</v>
      </c>
      <c r="I3" s="147">
        <f>'Турар Вьетнам карта'!X8</f>
        <v>0</v>
      </c>
      <c r="J3" s="148">
        <v>6900</v>
      </c>
      <c r="K3" s="147">
        <f>I3/J3</f>
        <v>0</v>
      </c>
      <c r="L3" s="148">
        <v>800</v>
      </c>
      <c r="M3" s="148">
        <f>J3*L3</f>
        <v>5520000</v>
      </c>
      <c r="N3" s="151">
        <f>M3-I3</f>
        <v>5520000</v>
      </c>
    </row>
    <row r="4" spans="1:14" s="143" customFormat="1" ht="19" x14ac:dyDescent="0.2">
      <c r="A4" s="146">
        <v>2</v>
      </c>
      <c r="B4" s="147">
        <f>'Турар Вьетнам карта'!Q22</f>
        <v>8070350</v>
      </c>
      <c r="C4" s="148">
        <v>17300</v>
      </c>
      <c r="D4" s="147">
        <f t="shared" ref="D4:D16" si="0">B4/C4</f>
        <v>466.49421965317919</v>
      </c>
      <c r="E4" s="148">
        <v>600</v>
      </c>
      <c r="F4" s="148">
        <f t="shared" ref="F4:F16" si="1">C4*E4</f>
        <v>10380000</v>
      </c>
      <c r="G4" s="151">
        <f t="shared" ref="G4:G16" si="2">F4-B4</f>
        <v>2309650</v>
      </c>
      <c r="I4" s="147">
        <f>'Турар Лотлар '!X24</f>
        <v>0</v>
      </c>
      <c r="J4" s="148">
        <v>17300</v>
      </c>
      <c r="K4" s="147">
        <f t="shared" ref="K4:K16" si="3">I4/J4</f>
        <v>0</v>
      </c>
      <c r="L4" s="148">
        <v>600</v>
      </c>
      <c r="M4" s="148">
        <f t="shared" ref="M4:M16" si="4">J4*L4</f>
        <v>10380000</v>
      </c>
      <c r="N4" s="151">
        <f t="shared" ref="N4:N16" si="5">M4-I4</f>
        <v>10380000</v>
      </c>
    </row>
    <row r="5" spans="1:14" s="143" customFormat="1" ht="19" x14ac:dyDescent="0.2">
      <c r="A5" s="146">
        <v>3</v>
      </c>
      <c r="B5" s="147">
        <f>'Турар Вьетнам карта'!Q25</f>
        <v>697800</v>
      </c>
      <c r="C5" s="148">
        <v>6500</v>
      </c>
      <c r="D5" s="147">
        <f t="shared" si="0"/>
        <v>107.35384615384615</v>
      </c>
      <c r="E5" s="148">
        <v>600</v>
      </c>
      <c r="F5" s="148">
        <f t="shared" si="1"/>
        <v>3900000</v>
      </c>
      <c r="G5" s="151">
        <f t="shared" si="2"/>
        <v>3202200</v>
      </c>
      <c r="I5" s="147">
        <f>'Нотурар Лотлар Вьет'!M6</f>
        <v>706000</v>
      </c>
      <c r="J5" s="148">
        <v>6500</v>
      </c>
      <c r="K5" s="147">
        <f>I5/J5</f>
        <v>108.61538461538461</v>
      </c>
      <c r="L5" s="148">
        <v>600</v>
      </c>
      <c r="M5" s="148">
        <f t="shared" si="4"/>
        <v>3900000</v>
      </c>
      <c r="N5" s="151">
        <f t="shared" si="5"/>
        <v>3194000</v>
      </c>
    </row>
    <row r="6" spans="1:14" s="143" customFormat="1" ht="19" x14ac:dyDescent="0.2">
      <c r="A6" s="146">
        <v>4</v>
      </c>
      <c r="B6" s="147">
        <v>0</v>
      </c>
      <c r="C6" s="148">
        <v>5900</v>
      </c>
      <c r="D6" s="147">
        <f t="shared" si="0"/>
        <v>0</v>
      </c>
      <c r="E6" s="148">
        <v>600</v>
      </c>
      <c r="F6" s="148">
        <f t="shared" si="1"/>
        <v>3540000</v>
      </c>
      <c r="G6" s="152">
        <f t="shared" si="2"/>
        <v>3540000</v>
      </c>
      <c r="I6" s="147">
        <f>'Нотурар Лотлар Вьет'!M8</f>
        <v>1044999.9999999999</v>
      </c>
      <c r="J6" s="148">
        <v>5900</v>
      </c>
      <c r="K6" s="147">
        <f t="shared" si="3"/>
        <v>177.11864406779659</v>
      </c>
      <c r="L6" s="148">
        <v>600</v>
      </c>
      <c r="M6" s="148">
        <f t="shared" si="4"/>
        <v>3540000</v>
      </c>
      <c r="N6" s="152">
        <f t="shared" si="5"/>
        <v>2495000</v>
      </c>
    </row>
    <row r="7" spans="1:14" s="143" customFormat="1" ht="19" x14ac:dyDescent="0.2">
      <c r="A7" s="146">
        <v>5</v>
      </c>
      <c r="B7" s="147">
        <v>0</v>
      </c>
      <c r="C7" s="148">
        <v>14600</v>
      </c>
      <c r="D7" s="147">
        <f t="shared" si="0"/>
        <v>0</v>
      </c>
      <c r="E7" s="148">
        <v>600</v>
      </c>
      <c r="F7" s="148">
        <f t="shared" si="1"/>
        <v>8760000</v>
      </c>
      <c r="G7" s="152">
        <f t="shared" si="2"/>
        <v>8760000</v>
      </c>
      <c r="I7" s="147">
        <f>'Нотурар Лотлар Вьет'!M14</f>
        <v>20618000</v>
      </c>
      <c r="J7" s="148">
        <v>14600</v>
      </c>
      <c r="K7" s="147">
        <f t="shared" si="3"/>
        <v>1412.1917808219177</v>
      </c>
      <c r="L7" s="148">
        <v>600</v>
      </c>
      <c r="M7" s="148">
        <f t="shared" si="4"/>
        <v>8760000</v>
      </c>
      <c r="N7" s="152">
        <f t="shared" si="5"/>
        <v>-11858000</v>
      </c>
    </row>
    <row r="8" spans="1:14" s="143" customFormat="1" ht="19" x14ac:dyDescent="0.2">
      <c r="A8" s="146">
        <v>6</v>
      </c>
      <c r="B8" s="147">
        <v>0</v>
      </c>
      <c r="C8" s="148">
        <v>6300</v>
      </c>
      <c r="D8" s="147">
        <f t="shared" si="0"/>
        <v>0</v>
      </c>
      <c r="E8" s="148">
        <v>600</v>
      </c>
      <c r="F8" s="148">
        <f t="shared" si="1"/>
        <v>3780000</v>
      </c>
      <c r="G8" s="151">
        <f t="shared" si="2"/>
        <v>3780000</v>
      </c>
      <c r="I8" s="147">
        <f>'Турар Лотлар '!X67</f>
        <v>0</v>
      </c>
      <c r="J8" s="148">
        <v>6300</v>
      </c>
      <c r="K8" s="147">
        <f t="shared" si="3"/>
        <v>0</v>
      </c>
      <c r="L8" s="148">
        <v>600</v>
      </c>
      <c r="M8" s="148">
        <f t="shared" si="4"/>
        <v>3780000</v>
      </c>
      <c r="N8" s="151">
        <f t="shared" si="5"/>
        <v>3780000</v>
      </c>
    </row>
    <row r="9" spans="1:14" s="143" customFormat="1" ht="19" x14ac:dyDescent="0.2">
      <c r="A9" s="146">
        <v>7</v>
      </c>
      <c r="B9" s="147">
        <v>0</v>
      </c>
      <c r="C9" s="148">
        <v>8500</v>
      </c>
      <c r="D9" s="147">
        <f t="shared" si="0"/>
        <v>0</v>
      </c>
      <c r="E9" s="148">
        <v>600</v>
      </c>
      <c r="F9" s="148">
        <f t="shared" si="1"/>
        <v>5100000</v>
      </c>
      <c r="G9" s="152">
        <f t="shared" si="2"/>
        <v>5100000</v>
      </c>
      <c r="I9" s="147">
        <f>'Турар Лотлар '!X79</f>
        <v>0</v>
      </c>
      <c r="J9" s="148">
        <v>8500</v>
      </c>
      <c r="K9" s="147">
        <f t="shared" si="3"/>
        <v>0</v>
      </c>
      <c r="L9" s="148">
        <v>600</v>
      </c>
      <c r="M9" s="148">
        <f t="shared" si="4"/>
        <v>5100000</v>
      </c>
      <c r="N9" s="152">
        <f t="shared" si="5"/>
        <v>5100000</v>
      </c>
    </row>
    <row r="10" spans="1:14" s="143" customFormat="1" ht="19" x14ac:dyDescent="0.2">
      <c r="A10" s="146">
        <v>8</v>
      </c>
      <c r="B10" s="147">
        <f>'Турар Вьетнам карта'!Q31</f>
        <v>1629100</v>
      </c>
      <c r="C10" s="148">
        <v>8400</v>
      </c>
      <c r="D10" s="147">
        <f t="shared" si="0"/>
        <v>193.9404761904762</v>
      </c>
      <c r="E10" s="148">
        <v>600</v>
      </c>
      <c r="F10" s="148">
        <f t="shared" si="1"/>
        <v>5040000</v>
      </c>
      <c r="G10" s="151">
        <f t="shared" si="2"/>
        <v>3410900</v>
      </c>
      <c r="I10" s="147">
        <f>'Нотурар Лотлар Вьет'!M19</f>
        <v>2328000</v>
      </c>
      <c r="J10" s="148">
        <v>8400</v>
      </c>
      <c r="K10" s="147">
        <f t="shared" si="3"/>
        <v>277.14285714285717</v>
      </c>
      <c r="L10" s="148">
        <v>600</v>
      </c>
      <c r="M10" s="148">
        <f t="shared" si="4"/>
        <v>5040000</v>
      </c>
      <c r="N10" s="151">
        <f t="shared" si="5"/>
        <v>2712000</v>
      </c>
    </row>
    <row r="11" spans="1:14" s="143" customFormat="1" ht="19" x14ac:dyDescent="0.2">
      <c r="A11" s="146">
        <v>9</v>
      </c>
      <c r="B11" s="147">
        <f>'Турар Вьетнам карта'!Q64</f>
        <v>13881100</v>
      </c>
      <c r="C11" s="148">
        <v>22200</v>
      </c>
      <c r="D11" s="147">
        <f t="shared" si="0"/>
        <v>625.27477477477476</v>
      </c>
      <c r="E11" s="148">
        <v>600</v>
      </c>
      <c r="F11" s="148">
        <f t="shared" si="1"/>
        <v>13320000</v>
      </c>
      <c r="G11" s="152">
        <f t="shared" si="2"/>
        <v>-561100</v>
      </c>
      <c r="I11" s="147">
        <f>'Нотурар Лотлар Вьет'!M19</f>
        <v>2328000</v>
      </c>
      <c r="J11" s="148">
        <v>22200</v>
      </c>
      <c r="K11" s="147">
        <f t="shared" si="3"/>
        <v>104.86486486486487</v>
      </c>
      <c r="L11" s="148">
        <v>600</v>
      </c>
      <c r="M11" s="148">
        <f t="shared" si="4"/>
        <v>13320000</v>
      </c>
      <c r="N11" s="152">
        <f t="shared" si="5"/>
        <v>10992000</v>
      </c>
    </row>
    <row r="12" spans="1:14" s="143" customFormat="1" ht="19" x14ac:dyDescent="0.2">
      <c r="A12" s="146">
        <v>10</v>
      </c>
      <c r="B12" s="147">
        <f>'Турар Вьетнам карта'!Q102</f>
        <v>16654403</v>
      </c>
      <c r="C12" s="148">
        <v>20400</v>
      </c>
      <c r="D12" s="147">
        <f t="shared" si="0"/>
        <v>816.39230392156867</v>
      </c>
      <c r="E12" s="148">
        <v>600</v>
      </c>
      <c r="F12" s="148">
        <f t="shared" si="1"/>
        <v>12240000</v>
      </c>
      <c r="G12" s="151">
        <f t="shared" si="2"/>
        <v>-4414403</v>
      </c>
      <c r="I12" s="147">
        <f>'Турар Лотлар '!X119</f>
        <v>0</v>
      </c>
      <c r="J12" s="148">
        <v>20400</v>
      </c>
      <c r="K12" s="147">
        <f t="shared" si="3"/>
        <v>0</v>
      </c>
      <c r="L12" s="148">
        <v>600</v>
      </c>
      <c r="M12" s="148">
        <f t="shared" si="4"/>
        <v>12240000</v>
      </c>
      <c r="N12" s="151">
        <f t="shared" si="5"/>
        <v>12240000</v>
      </c>
    </row>
    <row r="13" spans="1:14" s="143" customFormat="1" ht="19" x14ac:dyDescent="0.2">
      <c r="A13" s="146">
        <v>11</v>
      </c>
      <c r="B13" s="150">
        <f>'Турар Лотлар '!Q120</f>
        <v>0</v>
      </c>
      <c r="C13" s="148"/>
      <c r="D13" s="147">
        <v>0</v>
      </c>
      <c r="E13" s="148">
        <v>600</v>
      </c>
      <c r="F13" s="148">
        <f t="shared" si="1"/>
        <v>0</v>
      </c>
      <c r="G13" s="151">
        <f t="shared" si="2"/>
        <v>0</v>
      </c>
      <c r="I13" s="150">
        <f>'Турар Лотлар '!X120</f>
        <v>0</v>
      </c>
      <c r="J13" s="148"/>
      <c r="K13" s="147">
        <v>0</v>
      </c>
      <c r="L13" s="148">
        <v>600</v>
      </c>
      <c r="M13" s="148">
        <f t="shared" si="4"/>
        <v>0</v>
      </c>
      <c r="N13" s="151">
        <f t="shared" si="5"/>
        <v>0</v>
      </c>
    </row>
    <row r="14" spans="1:14" s="143" customFormat="1" ht="19" x14ac:dyDescent="0.2">
      <c r="A14" s="146">
        <v>12</v>
      </c>
      <c r="B14" s="147">
        <f>'Турар Вьетнам карта'!Q143</f>
        <v>18398000</v>
      </c>
      <c r="C14" s="148">
        <v>39300</v>
      </c>
      <c r="D14" s="147">
        <f t="shared" si="0"/>
        <v>468.14249363867685</v>
      </c>
      <c r="E14" s="148">
        <v>600</v>
      </c>
      <c r="F14" s="148">
        <f t="shared" si="1"/>
        <v>23580000</v>
      </c>
      <c r="G14" s="151">
        <f t="shared" si="2"/>
        <v>5182000</v>
      </c>
      <c r="I14" s="147">
        <f>'Нотурар Лотлар Вьет'!M26</f>
        <v>11893000</v>
      </c>
      <c r="J14" s="148">
        <v>39300</v>
      </c>
      <c r="K14" s="147">
        <f t="shared" ref="K14:K26" si="6">I14/J14</f>
        <v>302.6208651399491</v>
      </c>
      <c r="L14" s="148">
        <v>600</v>
      </c>
      <c r="M14" s="148">
        <f t="shared" si="4"/>
        <v>23580000</v>
      </c>
      <c r="N14" s="151">
        <f t="shared" si="5"/>
        <v>11687000</v>
      </c>
    </row>
    <row r="15" spans="1:14" s="143" customFormat="1" ht="19" x14ac:dyDescent="0.2">
      <c r="A15" s="146">
        <v>13</v>
      </c>
      <c r="B15" s="147">
        <f>'Турар Вьетнам карта'!Q151</f>
        <v>2821200</v>
      </c>
      <c r="C15" s="148">
        <v>5100</v>
      </c>
      <c r="D15" s="147">
        <f t="shared" si="0"/>
        <v>553.17647058823525</v>
      </c>
      <c r="E15" s="148">
        <v>600</v>
      </c>
      <c r="F15" s="148">
        <f t="shared" si="1"/>
        <v>3060000</v>
      </c>
      <c r="G15" s="151">
        <f t="shared" si="2"/>
        <v>238800</v>
      </c>
      <c r="I15" s="147">
        <f>'Турар Лотлар '!X144</f>
        <v>0</v>
      </c>
      <c r="J15" s="148">
        <v>5100</v>
      </c>
      <c r="K15" s="147">
        <f t="shared" si="6"/>
        <v>0</v>
      </c>
      <c r="L15" s="148">
        <v>600</v>
      </c>
      <c r="M15" s="148">
        <f t="shared" si="4"/>
        <v>3060000</v>
      </c>
      <c r="N15" s="151">
        <f t="shared" si="5"/>
        <v>3060000</v>
      </c>
    </row>
    <row r="16" spans="1:14" s="143" customFormat="1" ht="19" x14ac:dyDescent="0.2">
      <c r="A16" s="146">
        <v>14</v>
      </c>
      <c r="B16" s="147">
        <f>'Турар Вьетнам карта'!Q163</f>
        <v>6182800</v>
      </c>
      <c r="C16" s="148">
        <v>15200</v>
      </c>
      <c r="D16" s="147">
        <f t="shared" si="0"/>
        <v>406.76315789473682</v>
      </c>
      <c r="E16" s="148">
        <v>600</v>
      </c>
      <c r="F16" s="148">
        <f t="shared" si="1"/>
        <v>9120000</v>
      </c>
      <c r="G16" s="152">
        <f t="shared" si="2"/>
        <v>2937200</v>
      </c>
      <c r="I16" s="147">
        <f>'Нотурар Лотлар Вьет'!M28</f>
        <v>1150000</v>
      </c>
      <c r="J16" s="148">
        <v>15200</v>
      </c>
      <c r="K16" s="147">
        <f t="shared" si="6"/>
        <v>75.65789473684211</v>
      </c>
      <c r="L16" s="148">
        <v>600</v>
      </c>
      <c r="M16" s="148">
        <f t="shared" si="4"/>
        <v>9120000</v>
      </c>
      <c r="N16" s="152">
        <f t="shared" si="5"/>
        <v>7970000</v>
      </c>
    </row>
    <row r="17" spans="1:14" s="145" customFormat="1" ht="21" x14ac:dyDescent="0.2">
      <c r="A17" s="154"/>
      <c r="B17" s="155">
        <f>SUM(B3:B16)</f>
        <v>76359453</v>
      </c>
      <c r="C17" s="155">
        <f>SUM(C3:C16)</f>
        <v>176600</v>
      </c>
      <c r="D17" s="155">
        <f>AVERAGE(D3:D16)</f>
        <v>342.89555305824962</v>
      </c>
      <c r="E17" s="155">
        <f>AVERAGE(E3:E16)</f>
        <v>614.28571428571433</v>
      </c>
      <c r="F17" s="155">
        <f>SUM(F3:F16)</f>
        <v>107340000</v>
      </c>
      <c r="G17" s="155">
        <f>F17-B17</f>
        <v>30980547</v>
      </c>
      <c r="I17" s="155">
        <f>SUM(I3:I16)</f>
        <v>40068000</v>
      </c>
      <c r="J17" s="155">
        <f>SUM(J3:J16)</f>
        <v>176600</v>
      </c>
      <c r="K17" s="155">
        <f>AVERAGE(K3:K16)</f>
        <v>175.58659224211516</v>
      </c>
      <c r="L17" s="155">
        <f>AVERAGE(L3:L16)</f>
        <v>614.28571428571433</v>
      </c>
      <c r="M17" s="155">
        <f>SUM(M3:M16)</f>
        <v>107340000</v>
      </c>
      <c r="N17" s="155">
        <f>M17-I17</f>
        <v>67272000</v>
      </c>
    </row>
    <row r="18" spans="1:14" x14ac:dyDescent="0.2">
      <c r="D18" s="166" t="s">
        <v>623</v>
      </c>
      <c r="E18" s="166"/>
      <c r="G18" s="149"/>
      <c r="K18" s="166" t="s">
        <v>623</v>
      </c>
      <c r="L18" s="166"/>
      <c r="N18" s="149"/>
    </row>
    <row r="19" spans="1:14" ht="26" x14ac:dyDescent="0.2">
      <c r="G19" s="215"/>
    </row>
    <row r="20" spans="1:14" ht="71" customHeight="1" x14ac:dyDescent="0.2">
      <c r="A20" s="204" t="s">
        <v>644</v>
      </c>
      <c r="B20" s="204"/>
      <c r="C20" s="204"/>
      <c r="D20" s="204"/>
      <c r="E20" s="204"/>
      <c r="F20" s="204"/>
      <c r="G20" s="204"/>
    </row>
    <row r="21" spans="1:14" ht="51" x14ac:dyDescent="0.2">
      <c r="A21" s="153" t="s">
        <v>617</v>
      </c>
      <c r="B21" s="153" t="s">
        <v>639</v>
      </c>
      <c r="C21" s="153" t="s">
        <v>640</v>
      </c>
      <c r="D21" s="153" t="s">
        <v>641</v>
      </c>
      <c r="E21" s="153" t="s">
        <v>642</v>
      </c>
      <c r="F21" s="153" t="s">
        <v>643</v>
      </c>
      <c r="G21" s="153" t="s">
        <v>624</v>
      </c>
    </row>
    <row r="22" spans="1:14" x14ac:dyDescent="0.2">
      <c r="A22" s="146">
        <v>1</v>
      </c>
      <c r="B22" s="147">
        <f>B3+I3</f>
        <v>8024700</v>
      </c>
      <c r="C22" s="148">
        <v>6900</v>
      </c>
      <c r="D22" s="147">
        <f>B22/C22</f>
        <v>1163</v>
      </c>
      <c r="E22" s="148">
        <v>800</v>
      </c>
      <c r="F22" s="148">
        <f>E22*C22</f>
        <v>5520000</v>
      </c>
      <c r="G22" s="151">
        <f>B22-F22</f>
        <v>2504700</v>
      </c>
    </row>
    <row r="23" spans="1:14" x14ac:dyDescent="0.2">
      <c r="A23" s="146">
        <v>2</v>
      </c>
      <c r="B23" s="147">
        <f>B4+I4</f>
        <v>8070350</v>
      </c>
      <c r="C23" s="148">
        <v>17300</v>
      </c>
      <c r="D23" s="147">
        <f t="shared" ref="D23:D35" si="7">B23/C23</f>
        <v>466.49421965317919</v>
      </c>
      <c r="E23" s="148">
        <v>600</v>
      </c>
      <c r="F23" s="148">
        <f t="shared" ref="F23:F35" si="8">E23*C23</f>
        <v>10380000</v>
      </c>
      <c r="G23" s="152">
        <f t="shared" ref="G23:G35" si="9">B23-F23</f>
        <v>-2309650</v>
      </c>
    </row>
    <row r="24" spans="1:14" x14ac:dyDescent="0.2">
      <c r="A24" s="146">
        <v>3</v>
      </c>
      <c r="B24" s="147">
        <f t="shared" ref="B24:B35" si="10">B5+I5</f>
        <v>1403800</v>
      </c>
      <c r="C24" s="148">
        <v>6500</v>
      </c>
      <c r="D24" s="147">
        <f t="shared" si="7"/>
        <v>215.96923076923076</v>
      </c>
      <c r="E24" s="148">
        <v>850</v>
      </c>
      <c r="F24" s="148">
        <f t="shared" si="8"/>
        <v>5525000</v>
      </c>
      <c r="G24" s="152">
        <f t="shared" si="9"/>
        <v>-4121200</v>
      </c>
    </row>
    <row r="25" spans="1:14" x14ac:dyDescent="0.2">
      <c r="A25" s="146">
        <v>4</v>
      </c>
      <c r="B25" s="147">
        <f t="shared" si="10"/>
        <v>1044999.9999999999</v>
      </c>
      <c r="C25" s="148">
        <v>5900</v>
      </c>
      <c r="D25" s="147">
        <f t="shared" si="7"/>
        <v>177.11864406779659</v>
      </c>
      <c r="E25" s="148">
        <v>850</v>
      </c>
      <c r="F25" s="148">
        <f t="shared" si="8"/>
        <v>5015000</v>
      </c>
      <c r="G25" s="152">
        <f t="shared" si="9"/>
        <v>-3970000</v>
      </c>
    </row>
    <row r="26" spans="1:14" x14ac:dyDescent="0.2">
      <c r="A26" s="146">
        <v>5</v>
      </c>
      <c r="B26" s="147">
        <f t="shared" si="10"/>
        <v>20618000</v>
      </c>
      <c r="C26" s="148">
        <v>14600</v>
      </c>
      <c r="D26" s="147">
        <f t="shared" si="7"/>
        <v>1412.1917808219177</v>
      </c>
      <c r="E26" s="148">
        <v>850</v>
      </c>
      <c r="F26" s="148">
        <f t="shared" si="8"/>
        <v>12410000</v>
      </c>
      <c r="G26" s="151">
        <f t="shared" si="9"/>
        <v>8208000</v>
      </c>
    </row>
    <row r="27" spans="1:14" x14ac:dyDescent="0.2">
      <c r="A27" s="146">
        <v>6</v>
      </c>
      <c r="B27" s="147">
        <f t="shared" si="10"/>
        <v>0</v>
      </c>
      <c r="C27" s="148">
        <v>6300</v>
      </c>
      <c r="D27" s="147">
        <f t="shared" si="7"/>
        <v>0</v>
      </c>
      <c r="E27" s="148">
        <v>600</v>
      </c>
      <c r="F27" s="148">
        <f t="shared" si="8"/>
        <v>3780000</v>
      </c>
      <c r="G27" s="152">
        <f t="shared" si="9"/>
        <v>-3780000</v>
      </c>
    </row>
    <row r="28" spans="1:14" x14ac:dyDescent="0.2">
      <c r="A28" s="146">
        <v>7</v>
      </c>
      <c r="B28" s="147">
        <f t="shared" si="10"/>
        <v>0</v>
      </c>
      <c r="C28" s="148">
        <v>8500</v>
      </c>
      <c r="D28" s="147">
        <f t="shared" si="7"/>
        <v>0</v>
      </c>
      <c r="E28" s="148">
        <v>600</v>
      </c>
      <c r="F28" s="148">
        <f t="shared" si="8"/>
        <v>5100000</v>
      </c>
      <c r="G28" s="152">
        <f t="shared" si="9"/>
        <v>-5100000</v>
      </c>
    </row>
    <row r="29" spans="1:14" x14ac:dyDescent="0.2">
      <c r="A29" s="146">
        <v>8</v>
      </c>
      <c r="B29" s="147">
        <f t="shared" si="10"/>
        <v>3957100</v>
      </c>
      <c r="C29" s="148">
        <v>8400</v>
      </c>
      <c r="D29" s="147">
        <f t="shared" si="7"/>
        <v>471.08333333333331</v>
      </c>
      <c r="E29" s="148">
        <v>600</v>
      </c>
      <c r="F29" s="148">
        <f t="shared" si="8"/>
        <v>5040000</v>
      </c>
      <c r="G29" s="152">
        <f t="shared" si="9"/>
        <v>-1082900</v>
      </c>
    </row>
    <row r="30" spans="1:14" x14ac:dyDescent="0.2">
      <c r="A30" s="146">
        <v>9</v>
      </c>
      <c r="B30" s="147">
        <f t="shared" si="10"/>
        <v>16209100</v>
      </c>
      <c r="C30" s="148">
        <v>22200</v>
      </c>
      <c r="D30" s="147">
        <f t="shared" si="7"/>
        <v>730.13963963963965</v>
      </c>
      <c r="E30" s="148">
        <v>600</v>
      </c>
      <c r="F30" s="148">
        <f t="shared" si="8"/>
        <v>13320000</v>
      </c>
      <c r="G30" s="151">
        <f t="shared" si="9"/>
        <v>2889100</v>
      </c>
    </row>
    <row r="31" spans="1:14" x14ac:dyDescent="0.2">
      <c r="A31" s="146">
        <v>10</v>
      </c>
      <c r="B31" s="147">
        <f t="shared" si="10"/>
        <v>16654403</v>
      </c>
      <c r="C31" s="148">
        <v>20400</v>
      </c>
      <c r="D31" s="147">
        <f t="shared" si="7"/>
        <v>816.39230392156867</v>
      </c>
      <c r="E31" s="148">
        <v>600</v>
      </c>
      <c r="F31" s="148">
        <f t="shared" si="8"/>
        <v>12240000</v>
      </c>
      <c r="G31" s="151">
        <f t="shared" si="9"/>
        <v>4414403</v>
      </c>
    </row>
    <row r="32" spans="1:14" x14ac:dyDescent="0.2">
      <c r="A32" s="146">
        <v>11</v>
      </c>
      <c r="B32" s="147">
        <f t="shared" si="10"/>
        <v>0</v>
      </c>
      <c r="C32" s="148">
        <v>0</v>
      </c>
      <c r="D32" s="147"/>
      <c r="E32" s="148">
        <v>600</v>
      </c>
      <c r="F32" s="148">
        <f t="shared" si="8"/>
        <v>0</v>
      </c>
      <c r="G32" s="151">
        <f t="shared" si="9"/>
        <v>0</v>
      </c>
    </row>
    <row r="33" spans="1:7" x14ac:dyDescent="0.2">
      <c r="A33" s="146">
        <v>12</v>
      </c>
      <c r="B33" s="147">
        <f t="shared" si="10"/>
        <v>30291000</v>
      </c>
      <c r="C33" s="148">
        <v>39300</v>
      </c>
      <c r="D33" s="147">
        <f t="shared" si="7"/>
        <v>770.76335877862596</v>
      </c>
      <c r="E33" s="148">
        <v>600</v>
      </c>
      <c r="F33" s="148">
        <f t="shared" si="8"/>
        <v>23580000</v>
      </c>
      <c r="G33" s="151">
        <f t="shared" si="9"/>
        <v>6711000</v>
      </c>
    </row>
    <row r="34" spans="1:7" x14ac:dyDescent="0.2">
      <c r="A34" s="146">
        <v>13</v>
      </c>
      <c r="B34" s="147">
        <f t="shared" si="10"/>
        <v>2821200</v>
      </c>
      <c r="C34" s="148">
        <v>5100</v>
      </c>
      <c r="D34" s="147">
        <f t="shared" si="7"/>
        <v>553.17647058823525</v>
      </c>
      <c r="E34" s="148">
        <v>600</v>
      </c>
      <c r="F34" s="148">
        <f t="shared" si="8"/>
        <v>3060000</v>
      </c>
      <c r="G34" s="152">
        <f t="shared" si="9"/>
        <v>-238800</v>
      </c>
    </row>
    <row r="35" spans="1:7" x14ac:dyDescent="0.2">
      <c r="A35" s="146">
        <v>14</v>
      </c>
      <c r="B35" s="147">
        <f t="shared" si="10"/>
        <v>7332800</v>
      </c>
      <c r="C35" s="148">
        <v>15200</v>
      </c>
      <c r="D35" s="147">
        <f t="shared" si="7"/>
        <v>482.42105263157896</v>
      </c>
      <c r="E35" s="148">
        <v>600</v>
      </c>
      <c r="F35" s="148">
        <f t="shared" si="8"/>
        <v>9120000</v>
      </c>
      <c r="G35" s="152">
        <f t="shared" si="9"/>
        <v>-1787200</v>
      </c>
    </row>
    <row r="36" spans="1:7" x14ac:dyDescent="0.2">
      <c r="A36" s="154"/>
      <c r="B36" s="155">
        <f>SUM(B22:B35)</f>
        <v>116427453</v>
      </c>
      <c r="C36" s="155">
        <f t="shared" ref="C36:G36" si="11">SUM(C22:C35)</f>
        <v>176600</v>
      </c>
      <c r="D36" s="155">
        <f t="shared" si="11"/>
        <v>7258.7500342051062</v>
      </c>
      <c r="E36" s="155">
        <f t="shared" si="11"/>
        <v>9350</v>
      </c>
      <c r="F36" s="155">
        <f t="shared" si="11"/>
        <v>114090000</v>
      </c>
      <c r="G36" s="155">
        <f>B36-F36</f>
        <v>2337453</v>
      </c>
    </row>
  </sheetData>
  <mergeCells count="5">
    <mergeCell ref="D18:E18"/>
    <mergeCell ref="K18:L18"/>
    <mergeCell ref="B1:G1"/>
    <mergeCell ref="I1:N1"/>
    <mergeCell ref="A20:G2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Свод</vt:lpstr>
      <vt:lpstr>Нотурар</vt:lpstr>
      <vt:lpstr>Турар</vt:lpstr>
      <vt:lpstr>Турар Лотлар </vt:lpstr>
      <vt:lpstr>лот бўйича хк</vt:lpstr>
      <vt:lpstr>Нотурар Лотлар</vt:lpstr>
      <vt:lpstr>Турар Вьетнам карта</vt:lpstr>
      <vt:lpstr>Нотурар Лотлар Вьет</vt:lpstr>
      <vt:lpstr>лот бўйича хк ВЬет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Farrux Zufarov</dc:creator>
  <cp:lastModifiedBy>Farrux Zufarov</cp:lastModifiedBy>
  <cp:lastPrinted>2025-09-22T11:10:58Z</cp:lastPrinted>
  <dcterms:created xsi:type="dcterms:W3CDTF">2025-04-25T07:34:03Z</dcterms:created>
  <dcterms:modified xsi:type="dcterms:W3CDTF">2026-03-13T11:42:25Z</dcterms:modified>
</cp:coreProperties>
</file>