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n\Desktop\"/>
    </mc:Choice>
  </mc:AlternateContent>
  <xr:revisionPtr revIDLastSave="0" documentId="13_ncr:1_{F8BC9319-3E00-4345-84EA-BA6EFDA40EC0}" xr6:coauthVersionLast="47" xr6:coauthVersionMax="47" xr10:uidLastSave="{00000000-0000-0000-0000-000000000000}"/>
  <bookViews>
    <workbookView xWindow="-96" yWindow="-96" windowWidth="23232" windowHeight="13872" activeTab="1" xr2:uid="{8FC10CC5-8D4F-46AE-8E1A-0B936D5A2EC5}"/>
  </bookViews>
  <sheets>
    <sheet name="ХК" sheetId="1" r:id="rId1"/>
    <sheet name="Лот кесимида" sheetId="4" r:id="rId2"/>
    <sheet name="Турар" sheetId="5" r:id="rId3"/>
    <sheet name="Нотурар" sheetId="6" r:id="rId4"/>
  </sheets>
  <externalReferences>
    <externalReference r:id="rId5"/>
  </externalReferences>
  <definedNames>
    <definedName name="_xlnm._FilterDatabase" localSheetId="2" hidden="1">Турар!$A$1:$Q$1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/>
  <c r="D7" i="4"/>
  <c r="D8" i="1"/>
  <c r="D9" i="1"/>
  <c r="D7" i="1"/>
  <c r="D16" i="4"/>
  <c r="D14" i="4"/>
  <c r="D11" i="4"/>
  <c r="D10" i="4"/>
  <c r="D6" i="4"/>
  <c r="D5" i="4"/>
  <c r="D12" i="4"/>
  <c r="B17" i="4"/>
  <c r="E4" i="4" s="1"/>
  <c r="I40" i="6"/>
  <c r="I39" i="6"/>
  <c r="I38" i="6"/>
  <c r="I37" i="6"/>
  <c r="I36" i="6"/>
  <c r="I34" i="6"/>
  <c r="I33" i="6"/>
  <c r="I32" i="6"/>
  <c r="I31" i="6"/>
  <c r="K26" i="6"/>
  <c r="J26" i="6"/>
  <c r="H26" i="6"/>
  <c r="I25" i="6"/>
  <c r="L25" i="6" s="1"/>
  <c r="L26" i="6" s="1"/>
  <c r="K24" i="6"/>
  <c r="J24" i="6"/>
  <c r="H24" i="6"/>
  <c r="I23" i="6"/>
  <c r="L23" i="6" s="1"/>
  <c r="I22" i="6"/>
  <c r="L22" i="6" s="1"/>
  <c r="I21" i="6"/>
  <c r="L21" i="6" s="1"/>
  <c r="I20" i="6"/>
  <c r="L20" i="6" s="1"/>
  <c r="I19" i="6"/>
  <c r="L19" i="6" s="1"/>
  <c r="I18" i="6"/>
  <c r="K17" i="6"/>
  <c r="J17" i="6"/>
  <c r="H17" i="6"/>
  <c r="I16" i="6"/>
  <c r="I17" i="6" s="1"/>
  <c r="K15" i="6"/>
  <c r="J15" i="6"/>
  <c r="H15" i="6"/>
  <c r="I14" i="6"/>
  <c r="L14" i="6" s="1"/>
  <c r="I13" i="6"/>
  <c r="I15" i="6" s="1"/>
  <c r="K12" i="6"/>
  <c r="J12" i="6"/>
  <c r="H12" i="6"/>
  <c r="I11" i="6"/>
  <c r="I10" i="6"/>
  <c r="I9" i="6"/>
  <c r="L9" i="6" s="1"/>
  <c r="I8" i="6"/>
  <c r="L8" i="6" s="1"/>
  <c r="L7" i="6"/>
  <c r="I7" i="6"/>
  <c r="K6" i="6"/>
  <c r="J6" i="6"/>
  <c r="H6" i="6"/>
  <c r="I5" i="6"/>
  <c r="I6" i="6" s="1"/>
  <c r="K4" i="6"/>
  <c r="J4" i="6"/>
  <c r="H4" i="6"/>
  <c r="L3" i="6"/>
  <c r="I3" i="6"/>
  <c r="I2" i="6"/>
  <c r="I163" i="5"/>
  <c r="J163" i="5" s="1"/>
  <c r="I162" i="5"/>
  <c r="J162" i="5" s="1"/>
  <c r="P161" i="5"/>
  <c r="M161" i="5"/>
  <c r="M165" i="5" s="1"/>
  <c r="L161" i="5"/>
  <c r="L165" i="5" s="1"/>
  <c r="K161" i="5"/>
  <c r="K165" i="5" s="1"/>
  <c r="I161" i="5"/>
  <c r="I165" i="5" s="1"/>
  <c r="H161" i="5"/>
  <c r="H165" i="5" s="1"/>
  <c r="O160" i="5"/>
  <c r="N160" i="5"/>
  <c r="Q160" i="5" s="1"/>
  <c r="J160" i="5"/>
  <c r="O159" i="5"/>
  <c r="Q159" i="5" s="1"/>
  <c r="N159" i="5"/>
  <c r="J159" i="5"/>
  <c r="O158" i="5"/>
  <c r="N158" i="5"/>
  <c r="Q158" i="5" s="1"/>
  <c r="J158" i="5"/>
  <c r="O157" i="5"/>
  <c r="N157" i="5"/>
  <c r="Q157" i="5" s="1"/>
  <c r="J157" i="5"/>
  <c r="O156" i="5"/>
  <c r="Q156" i="5" s="1"/>
  <c r="N156" i="5"/>
  <c r="J156" i="5"/>
  <c r="Q155" i="5"/>
  <c r="O155" i="5"/>
  <c r="N155" i="5"/>
  <c r="J155" i="5"/>
  <c r="O154" i="5"/>
  <c r="N154" i="5"/>
  <c r="Q154" i="5" s="1"/>
  <c r="J154" i="5"/>
  <c r="O153" i="5"/>
  <c r="Q153" i="5" s="1"/>
  <c r="N153" i="5"/>
  <c r="J153" i="5"/>
  <c r="O152" i="5"/>
  <c r="N152" i="5"/>
  <c r="J152" i="5"/>
  <c r="O151" i="5"/>
  <c r="N151" i="5"/>
  <c r="Q151" i="5" s="1"/>
  <c r="J151" i="5"/>
  <c r="O150" i="5"/>
  <c r="N150" i="5"/>
  <c r="J150" i="5"/>
  <c r="P149" i="5"/>
  <c r="P165" i="5" s="1"/>
  <c r="M149" i="5"/>
  <c r="L149" i="5"/>
  <c r="K149" i="5"/>
  <c r="I149" i="5"/>
  <c r="H149" i="5"/>
  <c r="O148" i="5"/>
  <c r="N148" i="5"/>
  <c r="J148" i="5"/>
  <c r="O147" i="5"/>
  <c r="N147" i="5"/>
  <c r="Q147" i="5" s="1"/>
  <c r="J147" i="5"/>
  <c r="O146" i="5"/>
  <c r="N146" i="5"/>
  <c r="Q146" i="5" s="1"/>
  <c r="J146" i="5"/>
  <c r="O145" i="5"/>
  <c r="N145" i="5"/>
  <c r="Q145" i="5" s="1"/>
  <c r="J145" i="5"/>
  <c r="O144" i="5"/>
  <c r="N144" i="5"/>
  <c r="Q144" i="5" s="1"/>
  <c r="J144" i="5"/>
  <c r="O143" i="5"/>
  <c r="N143" i="5"/>
  <c r="J143" i="5"/>
  <c r="O142" i="5"/>
  <c r="Q142" i="5" s="1"/>
  <c r="N142" i="5"/>
  <c r="J142" i="5"/>
  <c r="P141" i="5"/>
  <c r="M141" i="5"/>
  <c r="L141" i="5"/>
  <c r="K141" i="5"/>
  <c r="I141" i="5"/>
  <c r="H141" i="5"/>
  <c r="Q140" i="5"/>
  <c r="O140" i="5"/>
  <c r="N140" i="5"/>
  <c r="J140" i="5"/>
  <c r="O139" i="5"/>
  <c r="N139" i="5"/>
  <c r="J139" i="5"/>
  <c r="O138" i="5"/>
  <c r="N138" i="5"/>
  <c r="J138" i="5"/>
  <c r="O137" i="5"/>
  <c r="N137" i="5"/>
  <c r="Q137" i="5" s="1"/>
  <c r="J137" i="5"/>
  <c r="O136" i="5"/>
  <c r="N136" i="5"/>
  <c r="Q136" i="5" s="1"/>
  <c r="J136" i="5"/>
  <c r="O135" i="5"/>
  <c r="N135" i="5"/>
  <c r="Q135" i="5" s="1"/>
  <c r="J135" i="5"/>
  <c r="O134" i="5"/>
  <c r="N134" i="5"/>
  <c r="Q134" i="5" s="1"/>
  <c r="J134" i="5"/>
  <c r="O133" i="5"/>
  <c r="N133" i="5"/>
  <c r="J133" i="5"/>
  <c r="O132" i="5"/>
  <c r="Q132" i="5" s="1"/>
  <c r="N132" i="5"/>
  <c r="J132" i="5"/>
  <c r="O131" i="5"/>
  <c r="N131" i="5"/>
  <c r="Q131" i="5" s="1"/>
  <c r="J131" i="5"/>
  <c r="O130" i="5"/>
  <c r="N130" i="5"/>
  <c r="Q130" i="5" s="1"/>
  <c r="J130" i="5"/>
  <c r="O129" i="5"/>
  <c r="N129" i="5"/>
  <c r="Q129" i="5" s="1"/>
  <c r="J129" i="5"/>
  <c r="O128" i="5"/>
  <c r="N128" i="5"/>
  <c r="Q128" i="5" s="1"/>
  <c r="J128" i="5"/>
  <c r="O127" i="5"/>
  <c r="N127" i="5"/>
  <c r="Q127" i="5" s="1"/>
  <c r="J127" i="5"/>
  <c r="O126" i="5"/>
  <c r="Q126" i="5" s="1"/>
  <c r="N126" i="5"/>
  <c r="O125" i="5"/>
  <c r="N125" i="5"/>
  <c r="O124" i="5"/>
  <c r="N124" i="5"/>
  <c r="J124" i="5"/>
  <c r="O123" i="5"/>
  <c r="N123" i="5"/>
  <c r="Q123" i="5" s="1"/>
  <c r="J123" i="5"/>
  <c r="O122" i="5"/>
  <c r="N122" i="5"/>
  <c r="Q122" i="5" s="1"/>
  <c r="J122" i="5"/>
  <c r="O121" i="5"/>
  <c r="N121" i="5"/>
  <c r="Q121" i="5" s="1"/>
  <c r="J121" i="5"/>
  <c r="O120" i="5"/>
  <c r="N120" i="5"/>
  <c r="J120" i="5"/>
  <c r="O119" i="5"/>
  <c r="N119" i="5"/>
  <c r="J119" i="5"/>
  <c r="O118" i="5"/>
  <c r="N118" i="5"/>
  <c r="Q118" i="5" s="1"/>
  <c r="J118" i="5"/>
  <c r="O117" i="5"/>
  <c r="N117" i="5"/>
  <c r="J117" i="5"/>
  <c r="Q116" i="5"/>
  <c r="O116" i="5"/>
  <c r="N116" i="5"/>
  <c r="J116" i="5"/>
  <c r="O115" i="5"/>
  <c r="N115" i="5"/>
  <c r="Q115" i="5" s="1"/>
  <c r="J115" i="5"/>
  <c r="O114" i="5"/>
  <c r="N114" i="5"/>
  <c r="Q114" i="5" s="1"/>
  <c r="J114" i="5"/>
  <c r="O113" i="5"/>
  <c r="N113" i="5"/>
  <c r="J113" i="5"/>
  <c r="O112" i="5"/>
  <c r="N112" i="5"/>
  <c r="Q112" i="5" s="1"/>
  <c r="O111" i="5"/>
  <c r="N111" i="5"/>
  <c r="Q111" i="5" s="1"/>
  <c r="O110" i="5"/>
  <c r="N110" i="5"/>
  <c r="Q110" i="5" s="1"/>
  <c r="J110" i="5"/>
  <c r="O109" i="5"/>
  <c r="N109" i="5"/>
  <c r="Q109" i="5" s="1"/>
  <c r="J109" i="5"/>
  <c r="O108" i="5"/>
  <c r="N108" i="5"/>
  <c r="J108" i="5"/>
  <c r="O107" i="5"/>
  <c r="N107" i="5"/>
  <c r="J107" i="5"/>
  <c r="O106" i="5"/>
  <c r="N106" i="5"/>
  <c r="Q106" i="5" s="1"/>
  <c r="J106" i="5"/>
  <c r="O105" i="5"/>
  <c r="N105" i="5"/>
  <c r="Q105" i="5" s="1"/>
  <c r="J105" i="5"/>
  <c r="O104" i="5"/>
  <c r="Q104" i="5" s="1"/>
  <c r="N104" i="5"/>
  <c r="J104" i="5"/>
  <c r="O103" i="5"/>
  <c r="N103" i="5"/>
  <c r="Q103" i="5" s="1"/>
  <c r="J103" i="5"/>
  <c r="O102" i="5"/>
  <c r="N102" i="5"/>
  <c r="Q102" i="5" s="1"/>
  <c r="J102" i="5"/>
  <c r="O101" i="5"/>
  <c r="Q101" i="5" s="1"/>
  <c r="N101" i="5"/>
  <c r="J101" i="5"/>
  <c r="P100" i="5"/>
  <c r="M100" i="5"/>
  <c r="L100" i="5"/>
  <c r="K100" i="5"/>
  <c r="I100" i="5"/>
  <c r="H100" i="5"/>
  <c r="O99" i="5"/>
  <c r="N99" i="5"/>
  <c r="Q99" i="5" s="1"/>
  <c r="J99" i="5"/>
  <c r="O98" i="5"/>
  <c r="N98" i="5"/>
  <c r="Q98" i="5" s="1"/>
  <c r="J98" i="5"/>
  <c r="O97" i="5"/>
  <c r="N97" i="5"/>
  <c r="Q97" i="5" s="1"/>
  <c r="J97" i="5"/>
  <c r="O96" i="5"/>
  <c r="N96" i="5"/>
  <c r="J96" i="5"/>
  <c r="O95" i="5"/>
  <c r="N95" i="5"/>
  <c r="Q95" i="5" s="1"/>
  <c r="J95" i="5"/>
  <c r="O94" i="5"/>
  <c r="N94" i="5"/>
  <c r="Q94" i="5" s="1"/>
  <c r="J94" i="5"/>
  <c r="O93" i="5"/>
  <c r="N93" i="5"/>
  <c r="Q93" i="5" s="1"/>
  <c r="J93" i="5"/>
  <c r="O92" i="5"/>
  <c r="N92" i="5"/>
  <c r="Q92" i="5" s="1"/>
  <c r="J92" i="5"/>
  <c r="O91" i="5"/>
  <c r="N91" i="5"/>
  <c r="Q91" i="5" s="1"/>
  <c r="J91" i="5"/>
  <c r="O90" i="5"/>
  <c r="N90" i="5"/>
  <c r="J90" i="5"/>
  <c r="O89" i="5"/>
  <c r="I89" i="5"/>
  <c r="J89" i="5" s="1"/>
  <c r="O88" i="5"/>
  <c r="N88" i="5"/>
  <c r="J88" i="5"/>
  <c r="Q87" i="5"/>
  <c r="O87" i="5"/>
  <c r="N87" i="5"/>
  <c r="J87" i="5"/>
  <c r="O86" i="5"/>
  <c r="N86" i="5"/>
  <c r="Q86" i="5" s="1"/>
  <c r="J86" i="5"/>
  <c r="O85" i="5"/>
  <c r="N85" i="5"/>
  <c r="Q85" i="5" s="1"/>
  <c r="J85" i="5"/>
  <c r="O84" i="5"/>
  <c r="N84" i="5"/>
  <c r="Q84" i="5" s="1"/>
  <c r="J84" i="5"/>
  <c r="O83" i="5"/>
  <c r="N83" i="5"/>
  <c r="Q83" i="5" s="1"/>
  <c r="J83" i="5"/>
  <c r="O82" i="5"/>
  <c r="Q82" i="5" s="1"/>
  <c r="N82" i="5"/>
  <c r="J82" i="5"/>
  <c r="O81" i="5"/>
  <c r="N81" i="5"/>
  <c r="Q81" i="5" s="1"/>
  <c r="J81" i="5"/>
  <c r="O80" i="5"/>
  <c r="N80" i="5"/>
  <c r="Q80" i="5" s="1"/>
  <c r="J80" i="5"/>
  <c r="O79" i="5"/>
  <c r="N79" i="5"/>
  <c r="J79" i="5"/>
  <c r="O78" i="5"/>
  <c r="N78" i="5"/>
  <c r="Q78" i="5" s="1"/>
  <c r="J78" i="5"/>
  <c r="O77" i="5"/>
  <c r="N77" i="5"/>
  <c r="Q77" i="5" s="1"/>
  <c r="J77" i="5"/>
  <c r="O76" i="5"/>
  <c r="N76" i="5"/>
  <c r="J76" i="5"/>
  <c r="O75" i="5"/>
  <c r="Q75" i="5" s="1"/>
  <c r="N75" i="5"/>
  <c r="J75" i="5"/>
  <c r="O74" i="5"/>
  <c r="N74" i="5"/>
  <c r="Q74" i="5" s="1"/>
  <c r="J74" i="5"/>
  <c r="O73" i="5"/>
  <c r="N73" i="5"/>
  <c r="Q73" i="5" s="1"/>
  <c r="J73" i="5"/>
  <c r="O72" i="5"/>
  <c r="N72" i="5"/>
  <c r="J72" i="5"/>
  <c r="O71" i="5"/>
  <c r="N71" i="5"/>
  <c r="Q71" i="5" s="1"/>
  <c r="J71" i="5"/>
  <c r="O70" i="5"/>
  <c r="N70" i="5"/>
  <c r="J70" i="5"/>
  <c r="O69" i="5"/>
  <c r="N69" i="5"/>
  <c r="Q69" i="5" s="1"/>
  <c r="J69" i="5"/>
  <c r="O68" i="5"/>
  <c r="N68" i="5"/>
  <c r="Q68" i="5" s="1"/>
  <c r="J68" i="5"/>
  <c r="O67" i="5"/>
  <c r="N67" i="5"/>
  <c r="Q67" i="5" s="1"/>
  <c r="J67" i="5"/>
  <c r="O66" i="5"/>
  <c r="N66" i="5"/>
  <c r="Q66" i="5" s="1"/>
  <c r="J66" i="5"/>
  <c r="O65" i="5"/>
  <c r="N65" i="5"/>
  <c r="Q65" i="5" s="1"/>
  <c r="J65" i="5"/>
  <c r="O64" i="5"/>
  <c r="Q64" i="5" s="1"/>
  <c r="N64" i="5"/>
  <c r="J64" i="5"/>
  <c r="O63" i="5"/>
  <c r="N63" i="5"/>
  <c r="Q63" i="5" s="1"/>
  <c r="J63" i="5"/>
  <c r="P62" i="5"/>
  <c r="M62" i="5"/>
  <c r="L62" i="5"/>
  <c r="K62" i="5"/>
  <c r="I62" i="5"/>
  <c r="H62" i="5"/>
  <c r="O61" i="5"/>
  <c r="N61" i="5"/>
  <c r="Q61" i="5" s="1"/>
  <c r="J61" i="5"/>
  <c r="O60" i="5"/>
  <c r="N60" i="5"/>
  <c r="Q60" i="5" s="1"/>
  <c r="J60" i="5"/>
  <c r="O59" i="5"/>
  <c r="N59" i="5"/>
  <c r="Q59" i="5" s="1"/>
  <c r="J59" i="5"/>
  <c r="O58" i="5"/>
  <c r="N58" i="5"/>
  <c r="Q58" i="5" s="1"/>
  <c r="J58" i="5"/>
  <c r="O57" i="5"/>
  <c r="N57" i="5"/>
  <c r="J57" i="5"/>
  <c r="O56" i="5"/>
  <c r="N56" i="5"/>
  <c r="Q56" i="5" s="1"/>
  <c r="J56" i="5"/>
  <c r="O55" i="5"/>
  <c r="N55" i="5"/>
  <c r="Q55" i="5" s="1"/>
  <c r="J55" i="5"/>
  <c r="O54" i="5"/>
  <c r="N54" i="5"/>
  <c r="Q54" i="5" s="1"/>
  <c r="J54" i="5"/>
  <c r="O53" i="5"/>
  <c r="N53" i="5"/>
  <c r="J53" i="5"/>
  <c r="O52" i="5"/>
  <c r="N52" i="5"/>
  <c r="Q52" i="5" s="1"/>
  <c r="J52" i="5"/>
  <c r="O51" i="5"/>
  <c r="N51" i="5"/>
  <c r="Q51" i="5" s="1"/>
  <c r="J51" i="5"/>
  <c r="Q50" i="5"/>
  <c r="O50" i="5"/>
  <c r="N50" i="5"/>
  <c r="J50" i="5"/>
  <c r="O49" i="5"/>
  <c r="N49" i="5"/>
  <c r="Q49" i="5" s="1"/>
  <c r="J49" i="5"/>
  <c r="O48" i="5"/>
  <c r="N48" i="5"/>
  <c r="Q48" i="5" s="1"/>
  <c r="J48" i="5"/>
  <c r="O47" i="5"/>
  <c r="N47" i="5"/>
  <c r="Q47" i="5" s="1"/>
  <c r="J47" i="5"/>
  <c r="O46" i="5"/>
  <c r="N46" i="5"/>
  <c r="Q46" i="5" s="1"/>
  <c r="J46" i="5"/>
  <c r="O45" i="5"/>
  <c r="N45" i="5"/>
  <c r="Q45" i="5" s="1"/>
  <c r="J45" i="5"/>
  <c r="O44" i="5"/>
  <c r="N44" i="5"/>
  <c r="Q44" i="5" s="1"/>
  <c r="J44" i="5"/>
  <c r="O43" i="5"/>
  <c r="N43" i="5"/>
  <c r="J43" i="5"/>
  <c r="O42" i="5"/>
  <c r="N42" i="5"/>
  <c r="J42" i="5"/>
  <c r="O41" i="5"/>
  <c r="N41" i="5"/>
  <c r="Q41" i="5" s="1"/>
  <c r="J41" i="5"/>
  <c r="O40" i="5"/>
  <c r="N40" i="5"/>
  <c r="Q40" i="5" s="1"/>
  <c r="J40" i="5"/>
  <c r="O39" i="5"/>
  <c r="N39" i="5"/>
  <c r="Q39" i="5" s="1"/>
  <c r="J39" i="5"/>
  <c r="O38" i="5"/>
  <c r="Q38" i="5" s="1"/>
  <c r="N38" i="5"/>
  <c r="J38" i="5"/>
  <c r="O37" i="5"/>
  <c r="N37" i="5"/>
  <c r="Q37" i="5" s="1"/>
  <c r="J37" i="5"/>
  <c r="O36" i="5"/>
  <c r="N36" i="5"/>
  <c r="Q36" i="5" s="1"/>
  <c r="J36" i="5"/>
  <c r="O35" i="5"/>
  <c r="N35" i="5"/>
  <c r="J35" i="5"/>
  <c r="O34" i="5"/>
  <c r="N34" i="5"/>
  <c r="Q34" i="5" s="1"/>
  <c r="J34" i="5"/>
  <c r="O33" i="5"/>
  <c r="N33" i="5"/>
  <c r="Q33" i="5" s="1"/>
  <c r="J33" i="5"/>
  <c r="O32" i="5"/>
  <c r="N32" i="5"/>
  <c r="Q32" i="5" s="1"/>
  <c r="J32" i="5"/>
  <c r="O31" i="5"/>
  <c r="N31" i="5"/>
  <c r="Q31" i="5" s="1"/>
  <c r="J31" i="5"/>
  <c r="O30" i="5"/>
  <c r="N30" i="5"/>
  <c r="J30" i="5"/>
  <c r="P29" i="5"/>
  <c r="M29" i="5"/>
  <c r="L29" i="5"/>
  <c r="K29" i="5"/>
  <c r="I29" i="5"/>
  <c r="H29" i="5"/>
  <c r="O28" i="5"/>
  <c r="N28" i="5"/>
  <c r="J28" i="5"/>
  <c r="O27" i="5"/>
  <c r="N27" i="5"/>
  <c r="Q27" i="5" s="1"/>
  <c r="J27" i="5"/>
  <c r="O26" i="5"/>
  <c r="N26" i="5"/>
  <c r="Q26" i="5" s="1"/>
  <c r="J26" i="5"/>
  <c r="O25" i="5"/>
  <c r="N25" i="5"/>
  <c r="J25" i="5"/>
  <c r="J29" i="5" s="1"/>
  <c r="O24" i="5"/>
  <c r="N24" i="5"/>
  <c r="Q24" i="5" s="1"/>
  <c r="J24" i="5"/>
  <c r="P23" i="5"/>
  <c r="M23" i="5"/>
  <c r="L23" i="5"/>
  <c r="K23" i="5"/>
  <c r="J23" i="5"/>
  <c r="I23" i="5"/>
  <c r="H23" i="5"/>
  <c r="O22" i="5"/>
  <c r="N22" i="5"/>
  <c r="O21" i="5"/>
  <c r="N21" i="5"/>
  <c r="P20" i="5"/>
  <c r="M20" i="5"/>
  <c r="L20" i="5"/>
  <c r="K20" i="5"/>
  <c r="I20" i="5"/>
  <c r="H20" i="5"/>
  <c r="O19" i="5"/>
  <c r="N19" i="5"/>
  <c r="Q19" i="5" s="1"/>
  <c r="J19" i="5"/>
  <c r="O18" i="5"/>
  <c r="Q18" i="5" s="1"/>
  <c r="N18" i="5"/>
  <c r="J18" i="5"/>
  <c r="O17" i="5"/>
  <c r="N17" i="5"/>
  <c r="J17" i="5"/>
  <c r="O16" i="5"/>
  <c r="N16" i="5"/>
  <c r="Q16" i="5" s="1"/>
  <c r="J16" i="5"/>
  <c r="O15" i="5"/>
  <c r="N15" i="5"/>
  <c r="J15" i="5"/>
  <c r="O14" i="5"/>
  <c r="N14" i="5"/>
  <c r="Q14" i="5" s="1"/>
  <c r="J14" i="5"/>
  <c r="O13" i="5"/>
  <c r="N13" i="5"/>
  <c r="Q13" i="5" s="1"/>
  <c r="J13" i="5"/>
  <c r="O12" i="5"/>
  <c r="N12" i="5"/>
  <c r="Q12" i="5" s="1"/>
  <c r="J12" i="5"/>
  <c r="O11" i="5"/>
  <c r="N11" i="5"/>
  <c r="Q11" i="5" s="1"/>
  <c r="J11" i="5"/>
  <c r="O10" i="5"/>
  <c r="N10" i="5"/>
  <c r="Q10" i="5" s="1"/>
  <c r="J10" i="5"/>
  <c r="O9" i="5"/>
  <c r="N9" i="5"/>
  <c r="Q9" i="5" s="1"/>
  <c r="J9" i="5"/>
  <c r="O8" i="5"/>
  <c r="N8" i="5"/>
  <c r="Q8" i="5" s="1"/>
  <c r="J8" i="5"/>
  <c r="O7" i="5"/>
  <c r="N7" i="5"/>
  <c r="J7" i="5"/>
  <c r="P6" i="5"/>
  <c r="M6" i="5"/>
  <c r="L6" i="5"/>
  <c r="K6" i="5"/>
  <c r="I6" i="5"/>
  <c r="H6" i="5"/>
  <c r="O5" i="5"/>
  <c r="N5" i="5"/>
  <c r="J5" i="5"/>
  <c r="J6" i="5" s="1"/>
  <c r="O4" i="5"/>
  <c r="N4" i="5"/>
  <c r="Q4" i="5" s="1"/>
  <c r="J4" i="5"/>
  <c r="O3" i="5"/>
  <c r="N3" i="5"/>
  <c r="Q3" i="5" s="1"/>
  <c r="J3" i="5"/>
  <c r="O2" i="5"/>
  <c r="N2" i="5"/>
  <c r="Q2" i="5" s="1"/>
  <c r="J2" i="5"/>
  <c r="C32" i="4"/>
  <c r="C28" i="4"/>
  <c r="F29" i="1"/>
  <c r="E12" i="4" s="1"/>
  <c r="F10" i="1"/>
  <c r="F23" i="1"/>
  <c r="E3" i="4" l="1"/>
  <c r="E16" i="4"/>
  <c r="E15" i="4"/>
  <c r="E14" i="4"/>
  <c r="E13" i="4"/>
  <c r="F13" i="4" s="1"/>
  <c r="G13" i="4" s="1"/>
  <c r="E11" i="4"/>
  <c r="E9" i="4"/>
  <c r="F9" i="4" s="1"/>
  <c r="G9" i="4" s="1"/>
  <c r="E7" i="4"/>
  <c r="E10" i="4"/>
  <c r="E8" i="4"/>
  <c r="F8" i="4" s="1"/>
  <c r="G8" i="4" s="1"/>
  <c r="E6" i="4"/>
  <c r="F6" i="4" s="1"/>
  <c r="G6" i="4" s="1"/>
  <c r="E5" i="4"/>
  <c r="E17" i="4" s="1"/>
  <c r="F7" i="4"/>
  <c r="G7" i="4" s="1"/>
  <c r="D17" i="4"/>
  <c r="Q120" i="5"/>
  <c r="Q25" i="5"/>
  <c r="Q29" i="5" s="1"/>
  <c r="C10" i="4" s="1"/>
  <c r="F10" i="4" s="1"/>
  <c r="G10" i="4" s="1"/>
  <c r="N161" i="5"/>
  <c r="O149" i="5"/>
  <c r="Q138" i="5"/>
  <c r="Q76" i="5"/>
  <c r="J149" i="5"/>
  <c r="Q150" i="5"/>
  <c r="Q161" i="5" s="1"/>
  <c r="N20" i="5"/>
  <c r="O100" i="5"/>
  <c r="J20" i="5"/>
  <c r="N23" i="5"/>
  <c r="Q42" i="5"/>
  <c r="Q57" i="5"/>
  <c r="Q79" i="5"/>
  <c r="Q108" i="5"/>
  <c r="Q70" i="5"/>
  <c r="Q107" i="5"/>
  <c r="Q141" i="5" s="1"/>
  <c r="C14" i="4" s="1"/>
  <c r="F14" i="4" s="1"/>
  <c r="G14" i="4" s="1"/>
  <c r="Q7" i="5"/>
  <c r="Q20" i="5" s="1"/>
  <c r="C4" i="4" s="1"/>
  <c r="F4" i="4" s="1"/>
  <c r="G4" i="4" s="1"/>
  <c r="O23" i="5"/>
  <c r="Q28" i="5"/>
  <c r="Q139" i="5"/>
  <c r="Q152" i="5"/>
  <c r="Q15" i="5"/>
  <c r="Q22" i="5"/>
  <c r="Q35" i="5"/>
  <c r="Q72" i="5"/>
  <c r="Q124" i="5"/>
  <c r="Q43" i="5"/>
  <c r="Q117" i="5"/>
  <c r="Q125" i="5"/>
  <c r="J161" i="5"/>
  <c r="Q133" i="5"/>
  <c r="Q88" i="5"/>
  <c r="N149" i="5"/>
  <c r="O20" i="5"/>
  <c r="N62" i="5"/>
  <c r="J141" i="5"/>
  <c r="Q148" i="5"/>
  <c r="Q113" i="5"/>
  <c r="Q5" i="5"/>
  <c r="Q6" i="5"/>
  <c r="C3" i="4" s="1"/>
  <c r="F3" i="4" s="1"/>
  <c r="G3" i="4" s="1"/>
  <c r="O6" i="5"/>
  <c r="Q96" i="5"/>
  <c r="Q17" i="5"/>
  <c r="J62" i="5"/>
  <c r="O62" i="5"/>
  <c r="Q53" i="5"/>
  <c r="Q90" i="5"/>
  <c r="N141" i="5"/>
  <c r="Q119" i="5"/>
  <c r="I26" i="6"/>
  <c r="I4" i="6"/>
  <c r="C27" i="4"/>
  <c r="L16" i="6"/>
  <c r="L17" i="6" s="1"/>
  <c r="J27" i="6"/>
  <c r="H27" i="6"/>
  <c r="H41" i="6" s="1"/>
  <c r="K27" i="6"/>
  <c r="L5" i="6"/>
  <c r="L6" i="6" s="1"/>
  <c r="C25" i="4" s="1"/>
  <c r="I24" i="6"/>
  <c r="I12" i="6"/>
  <c r="L12" i="6"/>
  <c r="I27" i="6"/>
  <c r="I41" i="6" s="1"/>
  <c r="J100" i="5"/>
  <c r="N29" i="5"/>
  <c r="O29" i="5"/>
  <c r="O161" i="5"/>
  <c r="Q30" i="5"/>
  <c r="Q21" i="5"/>
  <c r="Q23" i="5" s="1"/>
  <c r="C5" i="4" s="1"/>
  <c r="F5" i="4" s="1"/>
  <c r="G5" i="4" s="1"/>
  <c r="N89" i="5"/>
  <c r="Q89" i="5" s="1"/>
  <c r="O141" i="5"/>
  <c r="L18" i="6"/>
  <c r="L24" i="6" s="1"/>
  <c r="N6" i="5"/>
  <c r="L2" i="6"/>
  <c r="L4" i="6" s="1"/>
  <c r="L13" i="6"/>
  <c r="L15" i="6" s="1"/>
  <c r="Q143" i="5"/>
  <c r="Q149" i="5" s="1"/>
  <c r="C15" i="4" s="1"/>
  <c r="F15" i="4" s="1"/>
  <c r="G15" i="4" s="1"/>
  <c r="E31" i="1"/>
  <c r="D37" i="1" s="1"/>
  <c r="D39" i="1" s="1"/>
  <c r="C22" i="4" l="1"/>
  <c r="C16" i="4"/>
  <c r="F16" i="4" s="1"/>
  <c r="G16" i="4" s="1"/>
  <c r="J165" i="5"/>
  <c r="Q100" i="5"/>
  <c r="C12" i="4" s="1"/>
  <c r="F12" i="4" s="1"/>
  <c r="G12" i="4" s="1"/>
  <c r="O165" i="5"/>
  <c r="Q62" i="5"/>
  <c r="C11" i="4" s="1"/>
  <c r="F11" i="4" s="1"/>
  <c r="G11" i="4" s="1"/>
  <c r="C31" i="4"/>
  <c r="L27" i="6"/>
  <c r="C24" i="4"/>
  <c r="C35" i="4"/>
  <c r="C23" i="4"/>
  <c r="C29" i="4"/>
  <c r="N100" i="5"/>
  <c r="N165" i="5" s="1"/>
  <c r="C34" i="4"/>
  <c r="C33" i="4"/>
  <c r="C17" i="4"/>
  <c r="C26" i="4"/>
  <c r="F17" i="4" l="1"/>
  <c r="C30" i="4"/>
  <c r="Q165" i="5"/>
  <c r="C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36" authorId="0" shapeId="0" xr:uid="{12FE34A3-11AF-4396-A12B-1E18347F7312}">
      <text>
        <r>
          <rPr>
            <b/>
            <sz val="9"/>
            <color indexed="81"/>
            <rFont val="Tahoma"/>
            <family val="2"/>
            <charset val="204"/>
          </rPr>
          <t>Asus:</t>
        </r>
        <r>
          <rPr>
            <sz val="9"/>
            <color indexed="81"/>
            <rFont val="Tahoma"/>
            <family val="2"/>
            <charset val="204"/>
          </rPr>
          <t xml:space="preserve">
Бузилмайдиган объектлар</t>
        </r>
      </text>
    </comment>
  </commentList>
</comments>
</file>

<file path=xl/sharedStrings.xml><?xml version="1.0" encoding="utf-8"?>
<sst xmlns="http://schemas.openxmlformats.org/spreadsheetml/2006/main" count="874" uniqueCount="657">
  <si>
    <t>РЕЖА</t>
  </si>
  <si>
    <t>Учтепа сити маркази лойиҳасини амалга ошириш бўйича концептуал бизнес</t>
  </si>
  <si>
    <t>Харажатлар:</t>
  </si>
  <si>
    <t>Якка тартибдаги уйлар</t>
  </si>
  <si>
    <t>Нотурар объектлар</t>
  </si>
  <si>
    <t>Сони</t>
  </si>
  <si>
    <t>→</t>
  </si>
  <si>
    <t>Автомбиль йўллари</t>
  </si>
  <si>
    <t>Сув оқава тармоқлари</t>
  </si>
  <si>
    <t>Ичимлик суви тармоқлари</t>
  </si>
  <si>
    <t>◦</t>
  </si>
  <si>
    <t>Миқдори</t>
  </si>
  <si>
    <t>*Якка тартибдаги уйлар 1 сўтих нархи = $55 минг</t>
  </si>
  <si>
    <t>*Нотурар объектлар  сўтих нархи = $100 минг</t>
  </si>
  <si>
    <t>Давлат объектлари</t>
  </si>
  <si>
    <t>*Давлат объектлари ВМ 414га асосан Тез ёрдам ва Сувсоз дирекция томонидан кўчирилади</t>
  </si>
  <si>
    <t>Сумма ($)</t>
  </si>
  <si>
    <t>Бўзсув канали бўйини ободонлаштириш</t>
  </si>
  <si>
    <t>ЖАМИ:</t>
  </si>
  <si>
    <t>3,6 км</t>
  </si>
  <si>
    <t>Электр тақсимлаш пункти ва электр.таъминоти</t>
  </si>
  <si>
    <t>2та/ 3,6 км</t>
  </si>
  <si>
    <t>Электр кабел тармоқлари</t>
  </si>
  <si>
    <t>Параметрлари</t>
  </si>
  <si>
    <t xml:space="preserve">Кенглиги -12 метр </t>
  </si>
  <si>
    <t>48 ячейкага - 24 корхона</t>
  </si>
  <si>
    <t>240 АпВПУ - 10 кВ</t>
  </si>
  <si>
    <t>300 диаметрлик</t>
  </si>
  <si>
    <t>301 диаметрлик</t>
  </si>
  <si>
    <t>Сайилгоҳ</t>
  </si>
  <si>
    <t>Нархи($)</t>
  </si>
  <si>
    <r>
      <t>Ер майдони (м</t>
    </r>
    <r>
      <rPr>
        <b/>
        <vertAlign val="superscript"/>
        <sz val="12"/>
        <color theme="1"/>
        <rFont val="Aptos Narrow"/>
        <family val="2"/>
        <scheme val="minor"/>
      </rPr>
      <t>2)</t>
    </r>
  </si>
  <si>
    <t>III. Бошқа харажатлар</t>
  </si>
  <si>
    <t>Дирекцияни моддий база билан таъминлаш ва сақлаш харажатлари (5 йил)</t>
  </si>
  <si>
    <t>Кўзда тутилмаган (кутилмаган) харажатлар (1,5%)</t>
  </si>
  <si>
    <t>Лойиҳани амалга ошириш учун жами сарф-харажатлар</t>
  </si>
  <si>
    <t>I. Компенсация</t>
  </si>
  <si>
    <t>II. Ички коммуникация</t>
  </si>
  <si>
    <t>Зарарсизлик нуқтаси ҳисоб-китоби</t>
  </si>
  <si>
    <r>
      <t>40 000 м</t>
    </r>
    <r>
      <rPr>
        <vertAlign val="superscript"/>
        <sz val="12"/>
        <color theme="1"/>
        <rFont val="Aptos Narrow"/>
        <family val="2"/>
        <scheme val="minor"/>
      </rPr>
      <t>2</t>
    </r>
  </si>
  <si>
    <t>Жами сарф-харажатлар</t>
  </si>
  <si>
    <r>
      <t>Сотувга чиқариладиган ер майдони (м</t>
    </r>
    <r>
      <rPr>
        <vertAlign val="superscript"/>
        <sz val="14"/>
        <color theme="1"/>
        <rFont val="Aptos Narrow"/>
        <family val="2"/>
        <scheme val="minor"/>
      </rPr>
      <t>2</t>
    </r>
    <r>
      <rPr>
        <sz val="14"/>
        <color theme="1"/>
        <rFont val="Aptos Narrow"/>
        <family val="2"/>
        <scheme val="minor"/>
      </rPr>
      <t>)</t>
    </r>
  </si>
  <si>
    <r>
      <t>1 м</t>
    </r>
    <r>
      <rPr>
        <vertAlign val="superscript"/>
        <sz val="14"/>
        <color theme="1"/>
        <rFont val="Aptos Narrow"/>
        <family val="2"/>
        <scheme val="minor"/>
      </rPr>
      <t>2</t>
    </r>
    <r>
      <rPr>
        <sz val="14"/>
        <color theme="1"/>
        <rFont val="Aptos Narrow"/>
        <family val="2"/>
        <scheme val="minor"/>
      </rPr>
      <t xml:space="preserve"> зарарсизлик нуқтаси</t>
    </r>
  </si>
  <si>
    <t>Ҳудудни қурилиш чиқиндиларидан тозалаш</t>
  </si>
  <si>
    <t>Лойиҳа тўлиқ якунига етказиш учун 1 сўтиҳ ер майдонини електрон савдога чиқариладиган энг паст баҳоланган нархи ~ $75минг.</t>
  </si>
  <si>
    <t>Турар</t>
  </si>
  <si>
    <t>Нотурар</t>
  </si>
  <si>
    <t xml:space="preserve">Лот рақами </t>
  </si>
  <si>
    <t>Умумий лотлар маълумоти</t>
  </si>
  <si>
    <t>Компенсация суммаси
 (дастлабки ҳ-к бўйича)</t>
  </si>
  <si>
    <t>№</t>
  </si>
  <si>
    <t>К/р</t>
  </si>
  <si>
    <t>ЛОТ</t>
  </si>
  <si>
    <t xml:space="preserve">Мулкдор </t>
  </si>
  <si>
    <t>Кадастр рақами</t>
  </si>
  <si>
    <t xml:space="preserve">Кўча </t>
  </si>
  <si>
    <t>Уй рақами</t>
  </si>
  <si>
    <t>Хужжат бўйича Ер майдони, кв.м.</t>
  </si>
  <si>
    <t>Умумий ер майдони кв.м.</t>
  </si>
  <si>
    <t>Ўзбошимча ер майдони кв.м.</t>
  </si>
  <si>
    <t>Қурилиш оости майдони кв.м.</t>
  </si>
  <si>
    <t>Яшаш майдони кв.м.</t>
  </si>
  <si>
    <t>Хуқуқ тури</t>
  </si>
  <si>
    <t>Ер нархи кв.м. $ 500-800</t>
  </si>
  <si>
    <t>Бино нархи      $ 300</t>
  </si>
  <si>
    <t>MERNIY ANATOLIY GRIGOREVICH</t>
  </si>
  <si>
    <t>10:01:06:01:02:5074</t>
  </si>
  <si>
    <t>Богистон</t>
  </si>
  <si>
    <t>Ҳадя шартномаси 20-331 08/05/03</t>
  </si>
  <si>
    <t>NASIROVA FOTIMA XAMIDULLAYEVNA</t>
  </si>
  <si>
    <t>10:01:06:01:02:5136</t>
  </si>
  <si>
    <t>Х Турсункулов</t>
  </si>
  <si>
    <t>Олди-сотди шартномаси 927 27/02/03</t>
  </si>
  <si>
    <t>TULAGANOV AXMADJON TAGIROVICH</t>
  </si>
  <si>
    <t>10:01:06:01:02:5075</t>
  </si>
  <si>
    <t>Олди-сотди шартномаси 2,02102E+14 27/12/21</t>
  </si>
  <si>
    <t>YAFUNYAYEV MURAD FARIDOVICH</t>
  </si>
  <si>
    <t>10:01:06:01:02:5076</t>
  </si>
  <si>
    <t>Олди-сотди шартномаси 12-901 14/10/99</t>
  </si>
  <si>
    <t>XUSNITDINOV TAXIRDJAN XUDAYBERGENOVICH</t>
  </si>
  <si>
    <t>10:01:06:01:02:5123</t>
  </si>
  <si>
    <t>Қонун бўйича ворислик ҳақида гувоҳнома 2-6149 04/12/90</t>
  </si>
  <si>
    <t>XUSNITDINOV DILSHOD TAXIRJANOVICH</t>
  </si>
  <si>
    <t>10:01:06:01:02:5123/01</t>
  </si>
  <si>
    <t xml:space="preserve">275б </t>
  </si>
  <si>
    <t>Ҳадя шартномаси 2,019E+14 02/07/19</t>
  </si>
  <si>
    <t>ACHILOVA GULBAXOR RIXSIYEVNA</t>
  </si>
  <si>
    <t>10:01:06:01:02:5078/01</t>
  </si>
  <si>
    <t xml:space="preserve">275г </t>
  </si>
  <si>
    <t>Ҳадя шартномаси 2,01901E+14 15/02/19</t>
  </si>
  <si>
    <t>XAITMUXAMEDOVA DILORAM TOXIRJONOVNA</t>
  </si>
  <si>
    <t>10:01:06:01:02:5154</t>
  </si>
  <si>
    <t xml:space="preserve">275в </t>
  </si>
  <si>
    <t>Ҳадя шартномаси 2,02002E+14 13/11/20</t>
  </si>
  <si>
    <t>KARIMOVA MALIKA TAXIRDJANOVNA</t>
  </si>
  <si>
    <t>10:01:06:01:02:5078</t>
  </si>
  <si>
    <t xml:space="preserve">275а </t>
  </si>
  <si>
    <t>XUDJAMURATOV ALISHER AVLAYEVICH</t>
  </si>
  <si>
    <t>10:01:06:01:02:5156</t>
  </si>
  <si>
    <t xml:space="preserve">275д </t>
  </si>
  <si>
    <t>Олди-сотди шартномаси 2,02002E+14 16/09/20</t>
  </si>
  <si>
    <t>XASHIMOV XABIBULLA XASANOVICH</t>
  </si>
  <si>
    <t>10:01:06:01:02:5079</t>
  </si>
  <si>
    <t xml:space="preserve">Ҳадя шартномаси Р-р1-2975 09.10.2003 </t>
  </si>
  <si>
    <t>XASHIMOV ABDURAXMON ABDUKASIMOVICH</t>
  </si>
  <si>
    <t>10:01:06:01:02:5144</t>
  </si>
  <si>
    <t xml:space="preserve">279а </t>
  </si>
  <si>
    <t>Ҳадя шартномаси 1-3869 13/10/16</t>
  </si>
  <si>
    <t>XASHIMOV MURAT XUSANOVICH</t>
  </si>
  <si>
    <t>10:01:06:01:02:5141</t>
  </si>
  <si>
    <t>Қонун бўйича ворислик ҳақида гувоҳнома 2,019E+14 16/09/19</t>
  </si>
  <si>
    <t>AXRAROV SANJAR YAXYAYEVICH</t>
  </si>
  <si>
    <t>10:01:06:01:02:5080</t>
  </si>
  <si>
    <t>Келишув битими 2,019E+14 06/08/19</t>
  </si>
  <si>
    <t>XALILOV ABDUSAMAT ABDUJALILOVICH</t>
  </si>
  <si>
    <t>10:01:06:01:02:5132</t>
  </si>
  <si>
    <t xml:space="preserve">283а </t>
  </si>
  <si>
    <t>Васиятнома бўйича меросга бўлган ҳуқуқ ҳақидаги гувоҳномаси 1-441 16/02/17</t>
  </si>
  <si>
    <t>XALILOV ABDUSATTOR ABDUJALILOVICH</t>
  </si>
  <si>
    <t>10:01:06:01:02:5081</t>
  </si>
  <si>
    <t>Қонун бўйича ворислик ҳақида гувоҳнома 1-439 16/02/17</t>
  </si>
  <si>
    <t>BIRYUKOVA ROZA GLIMYANOVNA</t>
  </si>
  <si>
    <t>10:01:06:01:02:5135</t>
  </si>
  <si>
    <t xml:space="preserve">Фозилтепа </t>
  </si>
  <si>
    <t>қарори 227 28/03/18</t>
  </si>
  <si>
    <t>ASAMOVA NOZIMA AKMALOVNA</t>
  </si>
  <si>
    <t>10:01:06:01:02:5073</t>
  </si>
  <si>
    <t>Боғобод</t>
  </si>
  <si>
    <t>ASAMOVA NAILYA NASIROVNA</t>
  </si>
  <si>
    <t>10:01:06:01:02:5161</t>
  </si>
  <si>
    <t>180а</t>
  </si>
  <si>
    <t>XAMIDOV KOZIM DJURAYEVICH</t>
  </si>
  <si>
    <t>10:01:06:01:02:5115</t>
  </si>
  <si>
    <t>Богистон, туп 5</t>
  </si>
  <si>
    <t>Ҳадя шартномаси 1-4258 03/12/15</t>
  </si>
  <si>
    <t>MUMINOV SAGDULLA MOVLANOVICH</t>
  </si>
  <si>
    <t>10:01:06:01:02:5036</t>
  </si>
  <si>
    <t>ул. Богистон, дом</t>
  </si>
  <si>
    <t xml:space="preserve"> туман ижроия қўмитаси қарори 11-3/2 23/01/92</t>
  </si>
  <si>
    <t>MIRXADIYEV SHERZOD MIRAXMADOVICH</t>
  </si>
  <si>
    <t>10:01:06:01:02:5037/01</t>
  </si>
  <si>
    <t>40а</t>
  </si>
  <si>
    <t>Олди-сотди шартномаси 7253 11/12/07</t>
  </si>
  <si>
    <t>YAKUBDJANOVA MOXIRA MELSOVNA</t>
  </si>
  <si>
    <t>10:01:06:01:02:5037</t>
  </si>
  <si>
    <t>Олди-сотди шартномаси 15-576 11/06/10</t>
  </si>
  <si>
    <t>XODIYEV RAXMAT MAXKAMOVICH</t>
  </si>
  <si>
    <t>10:01:06:01:02:5120</t>
  </si>
  <si>
    <t>қарори 612 05/10/18</t>
  </si>
  <si>
    <t>SHERXANOV SHAHZOD RAVSHAN O‘G‘LI</t>
  </si>
  <si>
    <t>10:01:06:01:02:5052</t>
  </si>
  <si>
    <t>Олди-сотди шартномаси 2,019E+14 27/12/19</t>
  </si>
  <si>
    <t>YAKUBOV SAMUK NABIYEVICH</t>
  </si>
  <si>
    <t>10:01:06:01:02:5028</t>
  </si>
  <si>
    <t>Қонун бўйича ворислик ҳақида гувоҳнома 8-532 30/01/06</t>
  </si>
  <si>
    <t>10:01:06:01:02:5101</t>
  </si>
  <si>
    <t>қарори 314/26 26/12/91</t>
  </si>
  <si>
    <t>YAKUBOV SHOKIRJON SAMUKOVICH</t>
  </si>
  <si>
    <t>10:01:06:01:02:5101/01</t>
  </si>
  <si>
    <t>105а</t>
  </si>
  <si>
    <t>Ҳадя шартномаси 2,019E+14 21/01/19</t>
  </si>
  <si>
    <t>BABAJANOV BEHZOD POLVANNAZIROVICH</t>
  </si>
  <si>
    <t>10:01:06:01:02:5003</t>
  </si>
  <si>
    <t>Олди-сотди шартномаси 2,02102E+14 16/12/21</t>
  </si>
  <si>
    <t>YAKUBDJANOVA OZODAGUL DJARKINOVNA</t>
  </si>
  <si>
    <t>10:01:06:01:02:5001</t>
  </si>
  <si>
    <t>Олди-сотди шартномаси 4710 07/09/18</t>
  </si>
  <si>
    <t>BAKAYEVA XODJINISA NABIYEVNA</t>
  </si>
  <si>
    <t>10:01:06:01:02:5002</t>
  </si>
  <si>
    <t>Курилиш шартномаси 1336р9-232 19/02/92</t>
  </si>
  <si>
    <t>ACHILOV ABDURASHID RIXSIVAYEVICH</t>
  </si>
  <si>
    <t>10:01:06:01:02:5095</t>
  </si>
  <si>
    <t>Васиятнома бўйича ворислик ҳақида гувоҳномаси 1-1714  30/04/12</t>
  </si>
  <si>
    <t>Ачилов Абдурахман</t>
  </si>
  <si>
    <t>10:01:06:01:02:5138</t>
  </si>
  <si>
    <t>38 (34)</t>
  </si>
  <si>
    <t>а карори.277-1-23.14</t>
  </si>
  <si>
    <t>KADIROV RUSTAM SULTANOVICH</t>
  </si>
  <si>
    <t>10:01:06:01:02:5160</t>
  </si>
  <si>
    <t>7а</t>
  </si>
  <si>
    <t>Олди-сотди шартномаси 2,02102E+14 15/10/21</t>
  </si>
  <si>
    <t>ASAMUTDINOV BAXTIYOR KOMILOVICH</t>
  </si>
  <si>
    <t>10:01:07:01:01:5168</t>
  </si>
  <si>
    <t>Қонун бўйича ворислик ҳақида гувоҳнома 1-2024 19/04/13</t>
  </si>
  <si>
    <t>YUSUPOV AKRAM NEMATJANOVICH</t>
  </si>
  <si>
    <t>10:01:07:01:01:5443</t>
  </si>
  <si>
    <t>11а</t>
  </si>
  <si>
    <t>Олди-сотди шартномаси 1-3056 19/06/13</t>
  </si>
  <si>
    <t>JURAYEVA UMIDA ARIPJANOVNA</t>
  </si>
  <si>
    <t>10:01:06:01:02:5020</t>
  </si>
  <si>
    <t>Ҳадя шартномаси 1717 21/11/06</t>
  </si>
  <si>
    <t>TURSUNOVA ZULXUMOR ZARIPBAYEVNA</t>
  </si>
  <si>
    <t>10:01:06:01:02:5127</t>
  </si>
  <si>
    <t>22а</t>
  </si>
  <si>
    <t>Олди-сотди шартномаси 1-300 сонли 27/01/15</t>
  </si>
  <si>
    <t>TURAPOVA OLTINOY TESHAYEVNA</t>
  </si>
  <si>
    <t>10:01:06:01:02:5013/01</t>
  </si>
  <si>
    <t>Богистон, проезд 1</t>
  </si>
  <si>
    <t>18а</t>
  </si>
  <si>
    <t>Ҳадя шартномаси 3551 26/08/18</t>
  </si>
  <si>
    <t>TOXTAYEV BATIR TESHAYEVICH</t>
  </si>
  <si>
    <t>10:01:06:01:02:5013</t>
  </si>
  <si>
    <t>Богистон, проезд 2</t>
  </si>
  <si>
    <t>Курилиш шартномаси 1335р9-291 11/02/92</t>
  </si>
  <si>
    <t>NARBAYEV SHOVKAT URALOVICH</t>
  </si>
  <si>
    <t>10:01:06:01:02:5126</t>
  </si>
  <si>
    <t>Олди-сотди шартномаси 2,02102E+1424/06/21</t>
  </si>
  <si>
    <t>ASAMOVA MUNIRA SAYFITDINOVNA</t>
  </si>
  <si>
    <t>10:01:06:01:02:5151</t>
  </si>
  <si>
    <t>24а</t>
  </si>
  <si>
    <t>Олди-сотди шартномаси 2-4107 03/08/13</t>
  </si>
  <si>
    <t>AXMEDOVA AZIZA ISMAILOVNA</t>
  </si>
  <si>
    <t>10:01:06:01:02:5024</t>
  </si>
  <si>
    <t>Қонун бўйича меросга бўлган ҳуқуқ ҳақида гувоҳнома 2-3953 11/11/15</t>
  </si>
  <si>
    <t>SHAKIROV KADIR XXX</t>
  </si>
  <si>
    <t>10:01:06:01:02:5043</t>
  </si>
  <si>
    <t>қарори 11/3-2 23/01/92</t>
  </si>
  <si>
    <t>SHAKIROV ALIM TAXIROVICH</t>
  </si>
  <si>
    <t>10:01:06:01:02:5009</t>
  </si>
  <si>
    <t>Айрибошлаш шартномаси 2-4693 17/08/94</t>
  </si>
  <si>
    <t>XAYDAROV MALIK VASIKOVICH</t>
  </si>
  <si>
    <t>10:01:07:01:01:5304</t>
  </si>
  <si>
    <t>Қонун бўйича меросга бўлган ҳуқуқ ҳақида гувоҳнома 2,02002E+14 18/12/20</t>
  </si>
  <si>
    <t>SAIDMURADOVA DILOROM KABILOVNA</t>
  </si>
  <si>
    <t>10:01:07:01:01:5173</t>
  </si>
  <si>
    <t>қарори 11-3/2 23/01/92</t>
  </si>
  <si>
    <t>SAIDMURADOVA NASIBA IBRAGIMOVNA</t>
  </si>
  <si>
    <t>10:01:07:01:01:5453</t>
  </si>
  <si>
    <t>47б</t>
  </si>
  <si>
    <t>Ҳадя шартномаси 2,01901E+14 17/05/19</t>
  </si>
  <si>
    <t>SAIDMURATOV XUSAN XUSANOVICH</t>
  </si>
  <si>
    <t>10:01:06:01:02:5148</t>
  </si>
  <si>
    <t>30б</t>
  </si>
  <si>
    <t>Қонун бўйича меросга бўлган ҳуқуқ ҳақида гувоҳнома 4524 27/11/18</t>
  </si>
  <si>
    <t>SHAKIROV AZIZ ABDUSATTAROVICH</t>
  </si>
  <si>
    <t>10:01:06:01:02:5044</t>
  </si>
  <si>
    <t>SHAKIROV AVAZ SATTAROVICH</t>
  </si>
  <si>
    <t>10:01:06:01:02:5045</t>
  </si>
  <si>
    <t>қарори 907 16/12/94</t>
  </si>
  <si>
    <t>SHAKIROV ERKIN TAXIROVICH</t>
  </si>
  <si>
    <t>10:01:06:01:02:5053</t>
  </si>
  <si>
    <t>Олди-сотди шартномаси 25-549 27/05/98</t>
  </si>
  <si>
    <t>ARIFOVA GULMIRA ABDULLAYEVNA</t>
  </si>
  <si>
    <t>10:01:06:01:02:5046</t>
  </si>
  <si>
    <t>Ҳадя шартномаси 374 01/05/10</t>
  </si>
  <si>
    <t>ARIFOV XAMIDULLA AXMEDOVICH</t>
  </si>
  <si>
    <t>10:01:06:01:02:5071</t>
  </si>
  <si>
    <t>қарори 380/11 15/10/91</t>
  </si>
  <si>
    <t>SHAKIROV SHUXRAT KADIROVICH</t>
  </si>
  <si>
    <t>10:01:07:01:01:5360</t>
  </si>
  <si>
    <t>Учтепа  тумани ҳокимининг қарори № 215 06/03/98</t>
  </si>
  <si>
    <t>AXMEDOVA MALOXAT SHAKIROVNA</t>
  </si>
  <si>
    <t>10:01:06:01:02:5010</t>
  </si>
  <si>
    <t>Васиятнома бўйича ворислик ҳақида гувоҳномаси 14-444 08/07/08</t>
  </si>
  <si>
    <t>XAMEDOV ZAFAR IRGASHEVICH</t>
  </si>
  <si>
    <t>10:01:06:01:02:5150</t>
  </si>
  <si>
    <t>75а</t>
  </si>
  <si>
    <t>қарори 327 29/11/18</t>
  </si>
  <si>
    <t>XODJAYEV MURODJON KARIMBERDIYEVICH</t>
  </si>
  <si>
    <t>10:01:06:01:02:5139</t>
  </si>
  <si>
    <t>Олди-сотди шартномаси 2,02002E+14 22/05/20</t>
  </si>
  <si>
    <t>RASHIDOV ZIYOVIDDIN NAIMOVICH</t>
  </si>
  <si>
    <t>10:01:06:01:02:5039</t>
  </si>
  <si>
    <t>Қонун бўйича ворислик ҳақида гувоҳнома 2,02202E+14 17/02/22</t>
  </si>
  <si>
    <t>ATABAYEVA DILORAM IRGASHEVNA</t>
  </si>
  <si>
    <t>10:01:06:01:02:5059</t>
  </si>
  <si>
    <t>Ҳадя шартномаси 10-201 23/05/07</t>
  </si>
  <si>
    <t>XAMEDOV RAVSHAN IRGASHEVICH</t>
  </si>
  <si>
    <t>10:01:06:01:02:5060</t>
  </si>
  <si>
    <t>қарори 80 26/02/10</t>
  </si>
  <si>
    <t>MUMINOV ISMATULLA MOVLANOVICH</t>
  </si>
  <si>
    <t>10:01:06:02:02:5099</t>
  </si>
  <si>
    <t>61б</t>
  </si>
  <si>
    <t>Олди-сотди шартномаси 21-1246 30/06/00</t>
  </si>
  <si>
    <t>ABDUVAXIDOVA MUXAYO ABDUVALIYEVNA</t>
  </si>
  <si>
    <t>10:01:06:01:02:5055</t>
  </si>
  <si>
    <t>Қонун бўйича ворислик ҳақида гувоҳнома 1-2337 25/06/18</t>
  </si>
  <si>
    <t>10:01:06:01:02:5061</t>
  </si>
  <si>
    <t>қарори 79 сонли 26/02/10</t>
  </si>
  <si>
    <t>KUSHAKOV ARTIK AXMADJANOVICH</t>
  </si>
  <si>
    <t>10:01:06:01:02:5051</t>
  </si>
  <si>
    <t>Олди-сотди шартномаси 1-299  10/01/00</t>
  </si>
  <si>
    <t>AXUNDJANOVA NILUFAR MAXMUDJANOVNA</t>
  </si>
  <si>
    <t>10:01:06:01:02:5128</t>
  </si>
  <si>
    <t>Олди-сотди шартномаси 2,02202E+14 04/10/22</t>
  </si>
  <si>
    <t>UMAROV ABDURASHID UKTAMOVICH</t>
  </si>
  <si>
    <t>10:01:06:01:02:5049</t>
  </si>
  <si>
    <t>Ҳадя шартномаси 1990 01/04/00</t>
  </si>
  <si>
    <t>UMAROV MUMIN UKTAMOVICH</t>
  </si>
  <si>
    <t>10:01:06:01:02:5134</t>
  </si>
  <si>
    <t>ILXAMOV IKRAM XXX</t>
  </si>
  <si>
    <t>10:01:06:01:02:5147</t>
  </si>
  <si>
    <t>MUSAYEV RIXSIBAY XODJIAKBAROVICH</t>
  </si>
  <si>
    <t>10:01:06:01:02:5083</t>
  </si>
  <si>
    <t>Учтепа  тумани ҳокимининг қарори 1179 10/08/99</t>
  </si>
  <si>
    <t>KAMILOV ANVAR AZIMOVICH</t>
  </si>
  <si>
    <t>10:01:06:01:02:5047</t>
  </si>
  <si>
    <t>Учтепа  тумани ҳокимининг қарори 273 01/06/09</t>
  </si>
  <si>
    <t>USMANOVA MUKARRAM RAXMATOVNA</t>
  </si>
  <si>
    <t>10:01:06:01:02:5064</t>
  </si>
  <si>
    <t>қарори 1025 30/04/19</t>
  </si>
  <si>
    <t>ZUPAROV RUSTAM VAXITOVICH</t>
  </si>
  <si>
    <t>10:01:06:01:02:5042</t>
  </si>
  <si>
    <t>қарори 20/08/98</t>
  </si>
  <si>
    <t>RAXIMOV ALISHER XABIBULLAYEVICH</t>
  </si>
  <si>
    <t>10:01:06:01:02:5114</t>
  </si>
  <si>
    <t>Қонун бўйича ворислик ҳақида гувоҳнома 2,02202E+14 21/10/22</t>
  </si>
  <si>
    <t>ISMAILOV JAMSHID DJALALOVICH</t>
  </si>
  <si>
    <t>10:01:06:01:02:5159</t>
  </si>
  <si>
    <t>51а</t>
  </si>
  <si>
    <t>қарори 421 22/06/18</t>
  </si>
  <si>
    <t>AXMEDOV ASKAR AKBAROVICH</t>
  </si>
  <si>
    <t>10:01:06:01:02:5058</t>
  </si>
  <si>
    <t>Ш.Хоким карори N935.</t>
  </si>
  <si>
    <t>BAKIYEV ALIM SABITOVICH</t>
  </si>
  <si>
    <t>10:01:06:01:02:5038</t>
  </si>
  <si>
    <t>Ш.Хоким карори N18 0</t>
  </si>
  <si>
    <t>UMAROV KADIR UKTAMOVICH</t>
  </si>
  <si>
    <t>10:01:06:01:02:5016</t>
  </si>
  <si>
    <t>AXMEDOV SHERZOD ERGASHBAYEVICH</t>
  </si>
  <si>
    <t>10:01:06:01:02:5056</t>
  </si>
  <si>
    <t>Олди-сотди шартномаси 2-5098 06/11/07</t>
  </si>
  <si>
    <t>UMAROVA DILDORA GULYAMNAZAROVNA</t>
  </si>
  <si>
    <t>10:01:06:01:02:5149</t>
  </si>
  <si>
    <t>66а</t>
  </si>
  <si>
    <t>қарори 1019 28/12/18</t>
  </si>
  <si>
    <t>UMAROV ABDUSAID UKTAMOVICH</t>
  </si>
  <si>
    <t>10:01:06:01:02:5054</t>
  </si>
  <si>
    <t>60а</t>
  </si>
  <si>
    <t>Қонун бўйича меросга бўлган ҳуқуқ ҳақида гувоҳнома 2,02E+14 11/03/20</t>
  </si>
  <si>
    <t>MAMAJONOV XASAN IKROMOVICH</t>
  </si>
  <si>
    <t>10:01:07:01:01:5472</t>
  </si>
  <si>
    <t>14а</t>
  </si>
  <si>
    <t>Олди-сотди шартномаси 2,02102E+14 30/11/21</t>
  </si>
  <si>
    <t>UMAROV ABDURASUL UKTAMOVICH</t>
  </si>
  <si>
    <t>10:01:06:01:02:5063</t>
  </si>
  <si>
    <t>AZIMOV SHUXRAT GAPPAROVICH</t>
  </si>
  <si>
    <t>10:01:06:01:02:5048</t>
  </si>
  <si>
    <t>Ҳадя шартномаси Р-р1-629 12/01/05</t>
  </si>
  <si>
    <t>RAXIMOV AXMAD MAXMUTOVICH</t>
  </si>
  <si>
    <t>10:01:06:01:02:5021</t>
  </si>
  <si>
    <t>Богистон, туп. 3</t>
  </si>
  <si>
    <t>Васиятнома бўйича меросга бўлган ҳуқуқ ҳақидаги гувоҳномаси 1-281 08/02/17</t>
  </si>
  <si>
    <t>10:01:06:01:02:5117</t>
  </si>
  <si>
    <t>Олди-сотди шартномаси р-р№ 2-231 24/01/13</t>
  </si>
  <si>
    <t>ISMATULLAYEV XAYRULLA NASIROVICH</t>
  </si>
  <si>
    <t>10:01:06:01:02:5068</t>
  </si>
  <si>
    <t>Олди-сотди шартномаси 2,02102E+14 18/01/21</t>
  </si>
  <si>
    <t>XAMIDOV KAMIL DJURAYEVICH</t>
  </si>
  <si>
    <t>10:01:06:01:02:5121</t>
  </si>
  <si>
    <t>Богистон, проезд 5</t>
  </si>
  <si>
    <t>Олди-сотди шартномаси 576 01/03/00</t>
  </si>
  <si>
    <t>ILXAMOVA SHOIRA IKRAMOVNA</t>
  </si>
  <si>
    <t>10:01:06:01:02:5040</t>
  </si>
  <si>
    <t>Васиятнома бўйича меросга бўлган ҳуқуқ ҳақидаги гувоҳномаси 2,02102E+14 06/07/21</t>
  </si>
  <si>
    <t>Yakubova Diyora Murat qizi</t>
  </si>
  <si>
    <t>10:01:06:01:02:5069</t>
  </si>
  <si>
    <t>Олди-сотди шартномаси 2-2718 28/07/16</t>
  </si>
  <si>
    <t>ISMAILOVA MAMURA RIXSIYEVNA</t>
  </si>
  <si>
    <t>10:01:06:01:02:5105</t>
  </si>
  <si>
    <t>Курилиш шартномаси 1357 р-12-1762 28/04/92</t>
  </si>
  <si>
    <t>AZIMOV JAXONGIR ZAXIDOVICH</t>
  </si>
  <si>
    <t>10:01:07:01:01:5141</t>
  </si>
  <si>
    <t>Қонун бўйича ворислик ҳақида гувоҳнома 30-1706 27/12/06</t>
  </si>
  <si>
    <t>AZIMOV SATTAR XXX</t>
  </si>
  <si>
    <t>10:01:06:01:02:5014</t>
  </si>
  <si>
    <t>фармойиши 255 р-р 02/06/92</t>
  </si>
  <si>
    <t>XODJAYEV FAZLITDIN ZAYNITDINOVICH</t>
  </si>
  <si>
    <t>10:01:06:01:02:5015</t>
  </si>
  <si>
    <t>Олди-сотди шартномаси 2,02202E+14 30/03/22</t>
  </si>
  <si>
    <t>AKBAROVA MIXAYYO XXX</t>
  </si>
  <si>
    <t>10:01:06:01:02:5006</t>
  </si>
  <si>
    <t>Қонун бўйича ворислик ҳақида гувоҳнома 38-804 28/06/10</t>
  </si>
  <si>
    <t>XAMDAMOV AKMAL ATXAMOVICH</t>
  </si>
  <si>
    <t>10:01:06:01:02:5007</t>
  </si>
  <si>
    <t>Қонун бўйича ворислик ҳақида гувоҳнома 2,019E+14 12/10/19</t>
  </si>
  <si>
    <t>AZIMOV BAXODIR SHUKUROVICH</t>
  </si>
  <si>
    <t>10:01:06:01:02:5057</t>
  </si>
  <si>
    <t>AZIMOV SHUXRAT SHUKUROVICH</t>
  </si>
  <si>
    <t>10:01:06:01:02:5012/01</t>
  </si>
  <si>
    <t>46а</t>
  </si>
  <si>
    <t>Қонун бўйича ворислик ҳақида гувоҳнома 2-2477 25/09/16</t>
  </si>
  <si>
    <t>YAKUBOVA MA’FURA SHUKUROVNA</t>
  </si>
  <si>
    <t>10:01:06:01:02:5011</t>
  </si>
  <si>
    <t>AZIMOV RAXMAT SHUKUROVICH</t>
  </si>
  <si>
    <t>10:01:06:01:02:5012</t>
  </si>
  <si>
    <t>XAMDAMOV ALIDJAN ANVAROVICH</t>
  </si>
  <si>
    <t>10:01:06:01:02:5152</t>
  </si>
  <si>
    <t>қарори 1415 10/05/19</t>
  </si>
  <si>
    <t>ABDURASULOV FAXRIDDIN ABDUSAMATOVICH</t>
  </si>
  <si>
    <t>10:01:06:01:02:5155</t>
  </si>
  <si>
    <t>72а</t>
  </si>
  <si>
    <t>қарори 2388 02/08/19</t>
  </si>
  <si>
    <t>XODJAYEVA MAYSURA RAXMATOVNA</t>
  </si>
  <si>
    <t>10:01:06:01:02:5033</t>
  </si>
  <si>
    <t>Қонун бўйича ворислик ҳақида гувоҳнома 2,02102E+14 07/12/21</t>
  </si>
  <si>
    <t>MURATOV KARIM TURAYEVICH</t>
  </si>
  <si>
    <t>10:01:06:01:02:5022/01</t>
  </si>
  <si>
    <t>35а</t>
  </si>
  <si>
    <t>Ҳадя шартномаси 2-3060 03/11/18</t>
  </si>
  <si>
    <t>MURATOV KOMILJON TURAYEVICH</t>
  </si>
  <si>
    <t>10:01:06:01:02:5022</t>
  </si>
  <si>
    <t>MURATOVA ASALAT GULAMKADIROVNA</t>
  </si>
  <si>
    <t>10:01:06:02:02:5198</t>
  </si>
  <si>
    <t>Олди-сотди шартномаси 7831 20/12/03</t>
  </si>
  <si>
    <t>USMANBEKOVA MUKADDAS PULATOVNA</t>
  </si>
  <si>
    <t>10:01:06:01:02:5099</t>
  </si>
  <si>
    <t>27а</t>
  </si>
  <si>
    <t>Ҳадя шартномаси 2,02102E+14 18/10/21</t>
  </si>
  <si>
    <t>NASRITDINOV ZIYOVIDDIN XAYRITDINOVICH</t>
  </si>
  <si>
    <t>10:01:06:01:02:5098</t>
  </si>
  <si>
    <t>23а</t>
  </si>
  <si>
    <t>Олди-сотди шартномаси 2,02102E+14 03/07/21</t>
  </si>
  <si>
    <t>BAKIYEV SADIQ VASIKOVICH</t>
  </si>
  <si>
    <t>10:01:06:01:02:5023</t>
  </si>
  <si>
    <t xml:space="preserve"> Қонун бўйича меросга бўлган ҳуқуқ ҳақида гувоҳнома 2472 29/05/18</t>
  </si>
  <si>
    <t>10:01:06:01:02:5082</t>
  </si>
  <si>
    <t>Ҳадя шартномаси 1-5075 06/09/12</t>
  </si>
  <si>
    <t>BAKIYEV OMON SABITOVICH</t>
  </si>
  <si>
    <t>10:01:06:01:02:5143</t>
  </si>
  <si>
    <t>29а</t>
  </si>
  <si>
    <t>Ҳадя шартномаси 2-3210 10/12/17</t>
  </si>
  <si>
    <t>BAKIYEV ARIP SABITOVICH</t>
  </si>
  <si>
    <t>10:01:06:01:02:5027</t>
  </si>
  <si>
    <t>USMANBEKOV YUSUP BAXRAMOVICH</t>
  </si>
  <si>
    <t>10:01:06:01:02:5025</t>
  </si>
  <si>
    <t>Олди-сотди шартномаси 1061 08/04/05</t>
  </si>
  <si>
    <t>KARIMOVA SHAXIDA DALIYEVNA</t>
  </si>
  <si>
    <t>10:01:06:01:02:5142</t>
  </si>
  <si>
    <t>қарори 1185 29/12/17</t>
  </si>
  <si>
    <t>10:01:06:01:02:5026</t>
  </si>
  <si>
    <t>Қонун бўйича ворислик ҳақида гувоҳнома 2-1135 19/04/17</t>
  </si>
  <si>
    <t>ARTIKOVA GULCHEXRA MANSUROVNA</t>
  </si>
  <si>
    <t>10:01:06:02:02:5104</t>
  </si>
  <si>
    <t>Олди-сотди шартномаси 7275 09/11/05</t>
  </si>
  <si>
    <t>ABDUVAXIDOV PAZIL TURSUNOVICH</t>
  </si>
  <si>
    <t>10:01:06:01:02:5018</t>
  </si>
  <si>
    <t>19-(26)</t>
  </si>
  <si>
    <t>қарори 267 28/04/14</t>
  </si>
  <si>
    <t>ABDUVAXIDOV MANNOB TURSUNOVICH</t>
  </si>
  <si>
    <t>10:01:06:01:02:5029</t>
  </si>
  <si>
    <t>Қонун бўйича ворислик ҳақида гувоҳнома 1-6441 11/12/12</t>
  </si>
  <si>
    <t>ABDUVAXIDOV MAXAMAT TURSUNOVICH</t>
  </si>
  <si>
    <t>10:01:06:01:02:5029/01</t>
  </si>
  <si>
    <t>111а</t>
  </si>
  <si>
    <t>Қонун бўйича ворислик ҳақида гувоҳнома 1-6441 сонли 11/12/12</t>
  </si>
  <si>
    <t>ILXAMOV ATXAM AKRAMOVICH</t>
  </si>
  <si>
    <t>10:01:06:01:02:5041</t>
  </si>
  <si>
    <t>фармойиши 336 р 22/06/92</t>
  </si>
  <si>
    <t>10:01:06:01:02:5005</t>
  </si>
  <si>
    <t>Курилиш шартномаси 1326  Р№10-139 15/01/92</t>
  </si>
  <si>
    <t>ZAYNIDDINOVA MUNIRA TURSUNOVNA</t>
  </si>
  <si>
    <t>10:01:06:01:02:5110</t>
  </si>
  <si>
    <t>Ҳадя шартномаси  1-4271 25/07/17</t>
  </si>
  <si>
    <t>YAKUBDJANOV UBAYDULLA VALIYEVICH</t>
  </si>
  <si>
    <t>10:01:06:01:02:5030</t>
  </si>
  <si>
    <t>қарори 258-1/21 сонли 10/10/91</t>
  </si>
  <si>
    <t>VAHOBOV ABDUJABBOR HIKMATILLA O‘G‘LI</t>
  </si>
  <si>
    <t>10:01:06:01:02:5031</t>
  </si>
  <si>
    <t>32а</t>
  </si>
  <si>
    <t>Ҳадя шартномаси 1-512 22/02/17</t>
  </si>
  <si>
    <t>TUXTAYEVA MAVLYUDA BAXROMOVNA</t>
  </si>
  <si>
    <t>10:01:06:01:02:5008</t>
  </si>
  <si>
    <t>Қонун бўйича ворислик ҳақида гувоҳнома 1-792 02/03/18</t>
  </si>
  <si>
    <t>AZIMOV DILSHOD SHUKUROVICH</t>
  </si>
  <si>
    <t>10:01:06:01:02:5062</t>
  </si>
  <si>
    <t>О/С шарт.Р-р8-3719.2</t>
  </si>
  <si>
    <t>ABDULLAYEVA MAXMUDA GAPPAROVNA</t>
  </si>
  <si>
    <t>10:01:06:01:02:5067</t>
  </si>
  <si>
    <t>Олди-сотди шартномаси 12-1595 23/04/92</t>
  </si>
  <si>
    <t>Умаров Алишер Уктамович</t>
  </si>
  <si>
    <t>10:01:06:02:02:5150</t>
  </si>
  <si>
    <t>Курилиш шартномаси 1352 р2-1733 14/04/92</t>
  </si>
  <si>
    <t>GULAMOV MAXAMADRASUL MAXAMADJANOVICH</t>
  </si>
  <si>
    <t>10:01:06:01:02:5065</t>
  </si>
  <si>
    <t>86а</t>
  </si>
  <si>
    <t>О/С шарт.Р-р1-14523 28/07/05</t>
  </si>
  <si>
    <t>XAMDAMOV SHOVKAT ANVAROVICH</t>
  </si>
  <si>
    <t>10:01:06:01:02:5104</t>
  </si>
  <si>
    <t>қарори 1988 24/07/19</t>
  </si>
  <si>
    <t>XAMDAMOV SHUXRAT SHOVKATOVICH</t>
  </si>
  <si>
    <t>10:01:06:01:02:5125</t>
  </si>
  <si>
    <t>86б</t>
  </si>
  <si>
    <t>Олди-сотди шартномаси 1-641 16/02/15</t>
  </si>
  <si>
    <t>ACHILOV ABDUAZIZ ABDURAXMANOVICH</t>
  </si>
  <si>
    <t>10:01:06:01:02:5066</t>
  </si>
  <si>
    <t>Олди-сотди шартномаси 1195 11/04/01</t>
  </si>
  <si>
    <t>Хайдаров Абдували Васикович</t>
  </si>
  <si>
    <t>10:01:07:01:01:5449</t>
  </si>
  <si>
    <t>47а</t>
  </si>
  <si>
    <t>Курилиш шартномаси 1415 Р-р1-3282 10/07/93</t>
  </si>
  <si>
    <t>XAMDAMOV ATXAM XXX</t>
  </si>
  <si>
    <t>10:01:06:01:02:5118</t>
  </si>
  <si>
    <t>90а</t>
  </si>
  <si>
    <t>Курилиш шартномаси №1561 р-р 25-603 27/08/95</t>
  </si>
  <si>
    <t>AZIMOV KAMILJON SATTAROVICH</t>
  </si>
  <si>
    <t>10:01:06:01:02:5146</t>
  </si>
  <si>
    <t>UMAROVA MASHKURA USMANOVNA</t>
  </si>
  <si>
    <t>10:01:06:02:02:5155</t>
  </si>
  <si>
    <t>Олди-сотди шартномаси 2-15 06/01/95</t>
  </si>
  <si>
    <t>UMAROV BAXTIYAR UKTAMOVICH</t>
  </si>
  <si>
    <t>10:01:06:02:02:5212</t>
  </si>
  <si>
    <t xml:space="preserve"> Ҳадя шартномаси 15-1063 16/12/98</t>
  </si>
  <si>
    <t>UMAROV BAXODIR UKTAMOVICH</t>
  </si>
  <si>
    <t>10:01:06:02:02:5156</t>
  </si>
  <si>
    <t>Курилиш шартномаси 1350 р-р2-1736 08/04/92</t>
  </si>
  <si>
    <t>UMAROV RUSTAM UKTAMOVICH</t>
  </si>
  <si>
    <t>10:01:06:01:02:5116</t>
  </si>
  <si>
    <t>Тошкент шаҳар ҳокимининг қарори 380/11 15/10/91</t>
  </si>
  <si>
    <t>UMAROV ULUGBEK UKTAMOVICH</t>
  </si>
  <si>
    <t>10:01:06:01:02:5158</t>
  </si>
  <si>
    <t>қарори 2262 02/08/19</t>
  </si>
  <si>
    <t>NURITDINOV KAMAL SALAXITDINOVICH</t>
  </si>
  <si>
    <t>10:01:06:01:02:5070</t>
  </si>
  <si>
    <t>Курилиш шартномаси 1367р-р4-3522 02/06/92</t>
  </si>
  <si>
    <t>XAKIMOV ABDUMUTAL RASHIDOVICH</t>
  </si>
  <si>
    <t>10:01:06:01:02:5072</t>
  </si>
  <si>
    <t>Курилиш шартномаси 1369   р-р № 10-2609 02/06/92</t>
  </si>
  <si>
    <t>XAKIMOV JAVLONBEK ABDUMUTALOVICH</t>
  </si>
  <si>
    <t>10:01:06:01:02:5103</t>
  </si>
  <si>
    <t>Ҳадя шартномаси 3173 23/06/09</t>
  </si>
  <si>
    <t>KUSHAKOV LUTFULLA FAYZULLAYEVICH</t>
  </si>
  <si>
    <t>10:01:06:01:02:5096</t>
  </si>
  <si>
    <t>Ҳадя шартномаси 2,02102E+14 19/10/21</t>
  </si>
  <si>
    <t>ADILOV KOMAL KOBILOVICH</t>
  </si>
  <si>
    <t>10:01:06:01:02:5094</t>
  </si>
  <si>
    <t>қарори 434 26/09/08</t>
  </si>
  <si>
    <t>ADILOV MAMURJAN KABILOVICH</t>
  </si>
  <si>
    <t>10:01:06:01:02:5097</t>
  </si>
  <si>
    <t>Учтепа  тумани ҳокимининг қарори 275 01/06/09</t>
  </si>
  <si>
    <t>ADILOV MELS KABILOVICH</t>
  </si>
  <si>
    <t>10:01:06:01:02:5004</t>
  </si>
  <si>
    <t>қарори 794 15/07/03</t>
  </si>
  <si>
    <t>ADILOV MAXAMATJAN KABILOVICH</t>
  </si>
  <si>
    <t>10:01:06:01:02:5137/01</t>
  </si>
  <si>
    <t>114а</t>
  </si>
  <si>
    <t>Ҳадя шартномаси 15-347 27/04/06</t>
  </si>
  <si>
    <t>QOBILOV SARDORJON SOBIT O‘G‘LI</t>
  </si>
  <si>
    <t>10:01:06:01:02:5137</t>
  </si>
  <si>
    <t>Қонун бўйича меросга бўлган ҳуқуқ ҳақида гувоҳнома 2,02303E+14 23/02/23</t>
  </si>
  <si>
    <t>ZIYAMUXAMEDOV SHUKRULLA ZAKIROVICH</t>
  </si>
  <si>
    <t>10:01:06:02:02:5166</t>
  </si>
  <si>
    <t>110а</t>
  </si>
  <si>
    <t>Олди-сотди шартномаси 15-254 30/03/06</t>
  </si>
  <si>
    <t>IMAMOV OLIMJON TOIROVICH</t>
  </si>
  <si>
    <t>10:01:06:01:02:5035</t>
  </si>
  <si>
    <t>Қонун бўйича ворислик ҳақида гувоҳнома 1-3450 15/10/18</t>
  </si>
  <si>
    <t>Mannapov Ibroxim Abdunazarovich</t>
  </si>
  <si>
    <t xml:space="preserve">261а </t>
  </si>
  <si>
    <t>KARIMOV FAXRIDDIN TULYAGANOVICH</t>
  </si>
  <si>
    <t>Лот</t>
  </si>
  <si>
    <t>Мулк эгаси</t>
  </si>
  <si>
    <t>Кўчаси</t>
  </si>
  <si>
    <t>Хужжати</t>
  </si>
  <si>
    <t>Сотка</t>
  </si>
  <si>
    <t>Қурилиш ости  кв.м.</t>
  </si>
  <si>
    <t>Захват кв.м.</t>
  </si>
  <si>
    <t>Снос харажатлари       ($100 000)</t>
  </si>
  <si>
    <t>ЧП "GULSHAN JILOSI"</t>
  </si>
  <si>
    <t>Фозилтепа</t>
  </si>
  <si>
    <t>10:01:06:01:02:0019</t>
  </si>
  <si>
    <t>Олди сотди шартномаси 07.08.2012 й № 2/2833, Фуқаролик ишлари бўйича Тошкент шахар судининг қарори 17.03.2015 й № 10-1520/3172</t>
  </si>
  <si>
    <t>MIRSOATOV UBAYDULLO ABDULLO O‘G‘LI</t>
  </si>
  <si>
    <t>10:01:06:01:02:0031</t>
  </si>
  <si>
    <t>Олди сотди шартномаси 06.03.2019 й № 201900061001688.</t>
  </si>
  <si>
    <t>SIDIKOV BAXODIR AKMALOVICH</t>
  </si>
  <si>
    <t>10:01:06:01:02:0032</t>
  </si>
  <si>
    <t>Олди сотди шартномаси 03.06.2021 й № 202102108003387.</t>
  </si>
  <si>
    <t>OOO "AKSAVA"</t>
  </si>
  <si>
    <t>Фозилтепа,</t>
  </si>
  <si>
    <t>10:01:06:01:02:0008</t>
  </si>
  <si>
    <t>Решение хакима №970 от 27.08.2001г.</t>
  </si>
  <si>
    <t>ООО "PROF AVTO GARANT"</t>
  </si>
  <si>
    <t>10:01:06:01:02:0003</t>
  </si>
  <si>
    <t>Решение Хокима №104 от 30.01.2017г.</t>
  </si>
  <si>
    <t>ЧП 'MTP GARANT AGROMASH SERVIS'</t>
  </si>
  <si>
    <t>10:01:06:01:02:0009</t>
  </si>
  <si>
    <t>Государственный ордер №12 от 23.07.2015г.</t>
  </si>
  <si>
    <t>ГП "Спецавтообъединение Главного управления здравоохранения г.Ташкента"</t>
  </si>
  <si>
    <t>10:01:06:01:02:0005</t>
  </si>
  <si>
    <t>Приказ №65 от 16.02.1995г. Приказ №289 от 13.10.2017г.</t>
  </si>
  <si>
    <t>ООО "TOSHKENT SHAHAR SUV TA`MINOTI"</t>
  </si>
  <si>
    <t>10:01:06:01:02:0021</t>
  </si>
  <si>
    <t>Учтепа туман хокимининг карори 10.03.2017 й. № 238</t>
  </si>
  <si>
    <t>G‘OFUROV SA’DULLA TAXIR O‘G‘LI</t>
  </si>
  <si>
    <t>Богистон кўчаси</t>
  </si>
  <si>
    <t>99а</t>
  </si>
  <si>
    <t>OOO "RESTAVRATOR UNIVERSAL"</t>
  </si>
  <si>
    <t>99Б</t>
  </si>
  <si>
    <t>ЧП "VLAVAD RENT SERVIS"</t>
  </si>
  <si>
    <t>10:01:06:01:02:0040</t>
  </si>
  <si>
    <t>Государственный ордер №247 от 06.09.2006г.</t>
  </si>
  <si>
    <t>ATABAYEV ALISHER QADAMOVICH</t>
  </si>
  <si>
    <t>Богистон,</t>
  </si>
  <si>
    <t>4а</t>
  </si>
  <si>
    <t>10:01:06:01:02:0022</t>
  </si>
  <si>
    <t>Договор купли-продажи №01/08 от 13.08.2020г.</t>
  </si>
  <si>
    <t>ЧП "DE LYUKS STAR"</t>
  </si>
  <si>
    <t>10:01:06:01:02:0038</t>
  </si>
  <si>
    <t>решение №145 от 13.03.2015г.</t>
  </si>
  <si>
    <t>MUXAMEDOV BEXZOD NIGMATULLAYEVICH</t>
  </si>
  <si>
    <t>4б</t>
  </si>
  <si>
    <t>10:01:06:01:02:0047</t>
  </si>
  <si>
    <t>Решение Хокима №78 от 12.02.2015г.</t>
  </si>
  <si>
    <t>ООО 'RAVSHANJON-UNIPROM '</t>
  </si>
  <si>
    <t>10:01:06:01:02:0054</t>
  </si>
  <si>
    <t>Договор купли-продажи №4986 от 19.08.2014г.акт приемки в эксплуатацию завершенных строительством (реконструкцией) зданий и сооружений №28941511 от 19.03.2021г.</t>
  </si>
  <si>
    <t>ООО "RAVSHANJON-UNIPROM"</t>
  </si>
  <si>
    <t>10:01:06:01:02:0029</t>
  </si>
  <si>
    <t>Решение хакима №42 от 14.02.2008г.</t>
  </si>
  <si>
    <t>ООО "ERDON-SERVIS"</t>
  </si>
  <si>
    <t>4е</t>
  </si>
  <si>
    <t>10:01:06:01:02:0025</t>
  </si>
  <si>
    <t>Решение хакима №12 от 13.01.2009г.</t>
  </si>
  <si>
    <t>ООО 'QODIRBEK'</t>
  </si>
  <si>
    <t>МКАД</t>
  </si>
  <si>
    <t>10:01:06:01:02:0013</t>
  </si>
  <si>
    <t>Решение хакима №261 от 12.10.2006г.                              Решение Хокима №1182 от 28.12.2017г.</t>
  </si>
  <si>
    <t>Жами:</t>
  </si>
  <si>
    <t>Компенсация берилмайдиган нотурар объектлар</t>
  </si>
  <si>
    <t>"DRENAJLAR VA KOLLEKTORLARNI TA'MIRLASH VA SAQLASH IXTISOSLASHTIRILGAN BOSHKARMASI"DAVLAT MUASSASAS</t>
  </si>
  <si>
    <t>10:01:06:01:02:0049</t>
  </si>
  <si>
    <t>Мехнаткашлар депутатлариТошкент шахар советининг ижроия комитетининг қарори 01.07.1969 й № 192, Тошкент шахар совет халқ депутатлари комитетининг қарори 06.03.1987 й № 155/5, Акмал Икромов туман хокимининг қарори 29.10.1999 й № 1493.</t>
  </si>
  <si>
    <t xml:space="preserve">XUKUMAT OB'EKLARIDA XIZMAT KO'RSATISH BO'YICHA MAXSUS BOSHQARMA </t>
  </si>
  <si>
    <t>10:01:06:01:02:0014</t>
  </si>
  <si>
    <t>Ўзбекистон Республикаси Вазирлар Махкамасининг фармойиши 20.03.2003 й № 166-ф</t>
  </si>
  <si>
    <t>Сход граждан махалли 'CHO'PON OTA'</t>
  </si>
  <si>
    <t>10:01:06:01:02:0052</t>
  </si>
  <si>
    <t>Договор аренды земельного участка №1-14-1-0283-12 от 26.08.2012г.</t>
  </si>
  <si>
    <t>ГУП "SUVSOZ"</t>
  </si>
  <si>
    <t>10:01:06:01:02:0039</t>
  </si>
  <si>
    <t>Решение №708/33 от 04.12.1987г.                  Государственный ордер подтверждающий права собственности №16 от 05.05.2020г.</t>
  </si>
  <si>
    <t>G‘AFURJONOV SHAHZOD ALISHER O‘G‘LI</t>
  </si>
  <si>
    <t>10:01:06:01:02:0017</t>
  </si>
  <si>
    <t>Олди сотди шартномаси 05.02.2021 й № 202101915001388.</t>
  </si>
  <si>
    <t>XAMIDOVA PARIDA KABILOVNA</t>
  </si>
  <si>
    <t>Богобод</t>
  </si>
  <si>
    <t>269,271а,273</t>
  </si>
  <si>
    <t>10:01:06:01:02:0055</t>
  </si>
  <si>
    <t>Учтепа туман хокимининг қарори 27.05.2016 й № 398</t>
  </si>
  <si>
    <t>ООО "TURON MEROS"</t>
  </si>
  <si>
    <t>10:01:06:01:02:0058</t>
  </si>
  <si>
    <t>Тошкент шахар хокими 01.06.2021 й № 650</t>
  </si>
  <si>
    <t>ООО "SOFIYA QANDOLAT"</t>
  </si>
  <si>
    <t>10:01:06:01:02:0057</t>
  </si>
  <si>
    <t>Тошкент шахар хокими 07.04.2021 й № 386</t>
  </si>
  <si>
    <t>ООО "MADINA-MUXLISA STAR" (Парк)</t>
  </si>
  <si>
    <t>10:01:06:01:02:0016</t>
  </si>
  <si>
    <t>Учтепа туман хокими қарори 14.12.2017 й № 1140</t>
  </si>
  <si>
    <t>тр</t>
  </si>
  <si>
    <t>Компенсация харажатлари</t>
  </si>
  <si>
    <r>
      <t>Лот майдони</t>
    </r>
    <r>
      <rPr>
        <sz val="12"/>
        <color theme="1"/>
        <rFont val="Calibri"/>
        <family val="2"/>
        <charset val="204"/>
      </rPr>
      <t xml:space="preserve"> (кв.м.)</t>
    </r>
  </si>
  <si>
    <t>МТМ ҳудуди</t>
  </si>
  <si>
    <t>ЖАМИ</t>
  </si>
  <si>
    <t>Бошқа харажатлар тақсимоти (ички коомуникация, автомобиль йўллари ва бошқалар</t>
  </si>
  <si>
    <t>ЖАМИ
харажатлар</t>
  </si>
  <si>
    <r>
      <t>1 м</t>
    </r>
    <r>
      <rPr>
        <b/>
        <vertAlign val="superscript"/>
        <sz val="12"/>
        <color theme="1"/>
        <rFont val="Calibri"/>
        <family val="2"/>
        <charset val="204"/>
      </rPr>
      <t>2</t>
    </r>
    <r>
      <rPr>
        <b/>
        <sz val="12"/>
        <color theme="1"/>
        <rFont val="Calibri"/>
        <family val="2"/>
        <charset val="204"/>
      </rPr>
      <t xml:space="preserve"> зарарсизлик нуқтаси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</si>
</sst>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$-409]#,##0"/>
    <numFmt numFmtId="165" formatCode="_-* #,##0_-;\-* #,##0_-;_-* &quot;-&quot;??_-;_-@_-"/>
    <numFmt numFmtId="166" formatCode="[$$-409]#,##0_ ;\-[$$-409]#,##0\ "/>
    <numFmt numFmtId="167" formatCode="_-* #,##0.0_-;\-* #,##0.0_-;_-* &quot;-&quot;??_-;_-@_-"/>
  </numFmts>
  <fonts count="4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4"/>
      <color theme="5" tint="-0.249977111117893"/>
      <name val="Aptos Narrow"/>
      <family val="2"/>
      <scheme val="minor"/>
    </font>
    <font>
      <b/>
      <i/>
      <sz val="14"/>
      <color rgb="FF0070C0"/>
      <name val="Aptos Narrow"/>
      <family val="2"/>
      <scheme val="minor"/>
    </font>
    <font>
      <b/>
      <sz val="12"/>
      <color theme="5" tint="-0.249977111117893"/>
      <name val="Aptos Narrow"/>
      <family val="2"/>
    </font>
    <font>
      <vertAlign val="superscript"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b/>
      <i/>
      <sz val="12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</font>
    <font>
      <i/>
      <sz val="10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4"/>
      <color theme="9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9"/>
      <name val="Calibri"/>
      <family val="2"/>
      <charset val="204"/>
    </font>
    <font>
      <sz val="14"/>
      <color theme="9"/>
      <name val="Calibri"/>
      <family val="2"/>
      <charset val="204"/>
    </font>
    <font>
      <b/>
      <sz val="20"/>
      <color theme="4"/>
      <name val="Calibri"/>
      <family val="2"/>
      <charset val="204"/>
    </font>
    <font>
      <sz val="14"/>
      <color rgb="FFFF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vertAlign val="superscript"/>
      <sz val="12"/>
      <color theme="1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0" fontId="15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 inden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9" fillId="0" borderId="1" xfId="0" applyFont="1" applyBorder="1"/>
    <xf numFmtId="0" fontId="22" fillId="0" borderId="0" xfId="0" applyFont="1" applyAlignment="1">
      <alignment horizontal="left" indent="2"/>
    </xf>
    <xf numFmtId="0" fontId="23" fillId="0" borderId="0" xfId="0" applyFont="1" applyAlignment="1">
      <alignment horizontal="left" vertical="center" wrapText="1"/>
    </xf>
    <xf numFmtId="3" fontId="9" fillId="0" borderId="2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indent="6"/>
    </xf>
    <xf numFmtId="0" fontId="13" fillId="0" borderId="0" xfId="0" applyFont="1" applyAlignment="1">
      <alignment horizontal="left" indent="6"/>
    </xf>
    <xf numFmtId="0" fontId="4" fillId="0" borderId="1" xfId="0" applyFont="1" applyBorder="1" applyAlignment="1">
      <alignment horizontal="left" vertical="center" indent="1"/>
    </xf>
    <xf numFmtId="0" fontId="17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3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indent="1"/>
    </xf>
    <xf numFmtId="0" fontId="7" fillId="0" borderId="3" xfId="0" applyFont="1" applyBorder="1" applyAlignment="1">
      <alignment horizontal="left" indent="1"/>
    </xf>
    <xf numFmtId="0" fontId="7" fillId="0" borderId="4" xfId="0" applyFont="1" applyBorder="1" applyAlignment="1">
      <alignment horizontal="left" indent="1"/>
    </xf>
    <xf numFmtId="3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indent="1"/>
    </xf>
    <xf numFmtId="0" fontId="21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7" fillId="0" borderId="1" xfId="1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 wrapText="1"/>
    </xf>
    <xf numFmtId="0" fontId="28" fillId="0" borderId="1" xfId="3" applyFont="1" applyBorder="1" applyAlignment="1">
      <alignment horizontal="right" vertical="center" wrapText="1"/>
    </xf>
    <xf numFmtId="0" fontId="29" fillId="2" borderId="0" xfId="3" applyFont="1" applyFill="1"/>
    <xf numFmtId="0" fontId="28" fillId="0" borderId="5" xfId="3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29" fillId="0" borderId="5" xfId="3" applyFont="1" applyBorder="1" applyAlignment="1">
      <alignment horizontal="left" vertical="center" wrapText="1"/>
    </xf>
    <xf numFmtId="165" fontId="29" fillId="0" borderId="5" xfId="4" applyNumberFormat="1" applyFont="1" applyFill="1" applyBorder="1" applyAlignment="1">
      <alignment horizontal="center" vertical="center"/>
    </xf>
    <xf numFmtId="43" fontId="29" fillId="0" borderId="1" xfId="3" applyNumberFormat="1" applyFont="1" applyBorder="1" applyAlignment="1">
      <alignment horizontal="center" vertical="center"/>
    </xf>
    <xf numFmtId="166" fontId="29" fillId="0" borderId="1" xfId="3" applyNumberFormat="1" applyFont="1" applyBorder="1" applyAlignment="1">
      <alignment horizontal="right" vertical="center"/>
    </xf>
    <xf numFmtId="0" fontId="28" fillId="0" borderId="1" xfId="3" applyFont="1" applyBorder="1" applyAlignment="1">
      <alignment horizontal="center" vertical="center"/>
    </xf>
    <xf numFmtId="0" fontId="29" fillId="0" borderId="1" xfId="3" quotePrefix="1" applyFont="1" applyBorder="1" applyAlignment="1">
      <alignment horizontal="center" vertical="center" wrapText="1"/>
    </xf>
    <xf numFmtId="0" fontId="29" fillId="0" borderId="1" xfId="3" applyFont="1" applyBorder="1" applyAlignment="1">
      <alignment horizontal="left" vertical="center" wrapText="1"/>
    </xf>
    <xf numFmtId="165" fontId="29" fillId="0" borderId="1" xfId="4" applyNumberFormat="1" applyFont="1" applyFill="1" applyBorder="1" applyAlignment="1">
      <alignment horizontal="center" vertical="center"/>
    </xf>
    <xf numFmtId="0" fontId="28" fillId="12" borderId="1" xfId="3" applyFont="1" applyFill="1" applyBorder="1" applyAlignment="1">
      <alignment horizontal="center" vertical="center"/>
    </xf>
    <xf numFmtId="0" fontId="28" fillId="12" borderId="1" xfId="3" quotePrefix="1" applyFont="1" applyFill="1" applyBorder="1" applyAlignment="1">
      <alignment horizontal="center" vertical="center" wrapText="1"/>
    </xf>
    <xf numFmtId="0" fontId="28" fillId="12" borderId="1" xfId="3" applyFont="1" applyFill="1" applyBorder="1" applyAlignment="1">
      <alignment horizontal="center" vertical="center" wrapText="1"/>
    </xf>
    <xf numFmtId="0" fontId="28" fillId="12" borderId="1" xfId="1" applyFont="1" applyFill="1" applyBorder="1" applyAlignment="1">
      <alignment horizontal="center" vertical="center"/>
    </xf>
    <xf numFmtId="0" fontId="28" fillId="12" borderId="1" xfId="3" applyFont="1" applyFill="1" applyBorder="1" applyAlignment="1">
      <alignment horizontal="left" vertical="center" wrapText="1"/>
    </xf>
    <xf numFmtId="165" fontId="28" fillId="12" borderId="1" xfId="4" applyNumberFormat="1" applyFont="1" applyFill="1" applyBorder="1" applyAlignment="1">
      <alignment horizontal="center" vertical="center"/>
    </xf>
    <xf numFmtId="165" fontId="28" fillId="12" borderId="1" xfId="4" applyNumberFormat="1" applyFont="1" applyFill="1" applyBorder="1" applyAlignment="1">
      <alignment horizontal="right" vertical="center"/>
    </xf>
    <xf numFmtId="0" fontId="28" fillId="2" borderId="0" xfId="3" applyFont="1" applyFill="1"/>
    <xf numFmtId="43" fontId="29" fillId="0" borderId="1" xfId="4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31" fillId="0" borderId="1" xfId="3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31" fillId="0" borderId="1" xfId="3" applyFont="1" applyBorder="1" applyAlignment="1">
      <alignment horizontal="left" vertical="center" wrapText="1"/>
    </xf>
    <xf numFmtId="165" fontId="31" fillId="0" borderId="1" xfId="4" applyNumberFormat="1" applyFont="1" applyFill="1" applyBorder="1" applyAlignment="1">
      <alignment horizontal="center" vertical="center"/>
    </xf>
    <xf numFmtId="167" fontId="31" fillId="0" borderId="1" xfId="4" applyNumberFormat="1" applyFont="1" applyFill="1" applyBorder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166" fontId="31" fillId="0" borderId="1" xfId="3" applyNumberFormat="1" applyFont="1" applyBorder="1" applyAlignment="1">
      <alignment horizontal="right" vertical="center"/>
    </xf>
    <xf numFmtId="0" fontId="28" fillId="10" borderId="1" xfId="3" applyFont="1" applyFill="1" applyBorder="1" applyAlignment="1">
      <alignment horizontal="center" vertical="center"/>
    </xf>
    <xf numFmtId="0" fontId="28" fillId="10" borderId="2" xfId="3" applyFont="1" applyFill="1" applyBorder="1" applyAlignment="1">
      <alignment vertical="center"/>
    </xf>
    <xf numFmtId="0" fontId="28" fillId="10" borderId="4" xfId="3" applyFont="1" applyFill="1" applyBorder="1" applyAlignment="1">
      <alignment vertical="center"/>
    </xf>
    <xf numFmtId="0" fontId="28" fillId="10" borderId="1" xfId="3" applyFont="1" applyFill="1" applyBorder="1" applyAlignment="1">
      <alignment horizontal="center" vertical="center" wrapText="1"/>
    </xf>
    <xf numFmtId="0" fontId="28" fillId="10" borderId="1" xfId="3" applyFont="1" applyFill="1" applyBorder="1" applyAlignment="1">
      <alignment wrapText="1"/>
    </xf>
    <xf numFmtId="0" fontId="28" fillId="10" borderId="1" xfId="4" applyNumberFormat="1" applyFont="1" applyFill="1" applyBorder="1" applyAlignment="1">
      <alignment horizontal="center" vertical="center"/>
    </xf>
    <xf numFmtId="166" fontId="28" fillId="10" borderId="1" xfId="4" applyNumberFormat="1" applyFont="1" applyFill="1" applyBorder="1" applyAlignment="1">
      <alignment horizontal="right" vertical="center"/>
    </xf>
    <xf numFmtId="0" fontId="32" fillId="0" borderId="2" xfId="3" applyFont="1" applyBorder="1" applyAlignment="1">
      <alignment horizontal="center" vertical="center"/>
    </xf>
    <xf numFmtId="0" fontId="32" fillId="0" borderId="3" xfId="3" applyFont="1" applyBorder="1" applyAlignment="1">
      <alignment horizontal="center" vertical="center"/>
    </xf>
    <xf numFmtId="0" fontId="32" fillId="0" borderId="4" xfId="3" applyFont="1" applyBorder="1" applyAlignment="1">
      <alignment horizontal="center" vertical="center"/>
    </xf>
    <xf numFmtId="0" fontId="29" fillId="2" borderId="1" xfId="3" quotePrefix="1" applyFont="1" applyFill="1" applyBorder="1" applyAlignment="1">
      <alignment horizontal="center" vertical="center" wrapText="1"/>
    </xf>
    <xf numFmtId="0" fontId="29" fillId="2" borderId="1" xfId="3" applyFont="1" applyFill="1" applyBorder="1" applyAlignment="1">
      <alignment horizontal="center" vertical="center" wrapText="1"/>
    </xf>
    <xf numFmtId="167" fontId="29" fillId="0" borderId="1" xfId="4" applyNumberFormat="1" applyFont="1" applyFill="1" applyBorder="1" applyAlignment="1">
      <alignment horizontal="center" vertical="center"/>
    </xf>
    <xf numFmtId="0" fontId="28" fillId="2" borderId="1" xfId="3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 wrapText="1"/>
    </xf>
    <xf numFmtId="0" fontId="33" fillId="13" borderId="1" xfId="3" applyFont="1" applyFill="1" applyBorder="1" applyAlignment="1">
      <alignment horizontal="center" vertical="center"/>
    </xf>
    <xf numFmtId="0" fontId="28" fillId="9" borderId="1" xfId="3" applyFont="1" applyFill="1" applyBorder="1" applyAlignment="1">
      <alignment horizontal="center" vertical="center"/>
    </xf>
    <xf numFmtId="0" fontId="28" fillId="0" borderId="1" xfId="3" applyFont="1" applyBorder="1" applyAlignment="1">
      <alignment wrapText="1"/>
    </xf>
    <xf numFmtId="165" fontId="28" fillId="0" borderId="1" xfId="4" applyNumberFormat="1" applyFont="1" applyFill="1" applyBorder="1" applyAlignment="1">
      <alignment horizontal="right" vertical="center"/>
    </xf>
    <xf numFmtId="0" fontId="29" fillId="0" borderId="0" xfId="3" applyFont="1"/>
    <xf numFmtId="0" fontId="29" fillId="0" borderId="0" xfId="3" applyFont="1" applyAlignment="1">
      <alignment horizontal="right"/>
    </xf>
    <xf numFmtId="0" fontId="28" fillId="2" borderId="0" xfId="3" applyFont="1" applyFill="1" applyAlignment="1">
      <alignment horizontal="center" vertical="center"/>
    </xf>
    <xf numFmtId="0" fontId="27" fillId="2" borderId="0" xfId="1" applyFont="1" applyFill="1"/>
    <xf numFmtId="3" fontId="27" fillId="0" borderId="1" xfId="1" applyNumberFormat="1" applyFont="1" applyBorder="1" applyAlignment="1">
      <alignment horizontal="center" vertical="center"/>
    </xf>
    <xf numFmtId="164" fontId="27" fillId="0" borderId="1" xfId="1" applyNumberFormat="1" applyFont="1" applyBorder="1" applyAlignment="1">
      <alignment horizontal="center" vertical="center"/>
    </xf>
    <xf numFmtId="0" fontId="26" fillId="2" borderId="1" xfId="1" applyFont="1" applyFill="1" applyBorder="1" applyAlignment="1">
      <alignment horizontal="center" vertical="center"/>
    </xf>
    <xf numFmtId="0" fontId="27" fillId="0" borderId="0" xfId="1" applyFont="1"/>
    <xf numFmtId="0" fontId="26" fillId="6" borderId="1" xfId="1" applyFont="1" applyFill="1" applyBorder="1" applyAlignment="1">
      <alignment horizontal="center" vertical="center" wrapText="1"/>
    </xf>
    <xf numFmtId="0" fontId="26" fillId="6" borderId="1" xfId="1" applyFont="1" applyFill="1" applyBorder="1" applyAlignment="1">
      <alignment horizontal="center" vertical="center"/>
    </xf>
    <xf numFmtId="164" fontId="26" fillId="6" borderId="1" xfId="1" applyNumberFormat="1" applyFont="1" applyFill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/>
    </xf>
    <xf numFmtId="0" fontId="29" fillId="0" borderId="4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 wrapText="1"/>
    </xf>
    <xf numFmtId="165" fontId="29" fillId="0" borderId="1" xfId="2" applyNumberFormat="1" applyFont="1" applyFill="1" applyBorder="1" applyAlignment="1">
      <alignment horizontal="center" vertical="center" wrapText="1"/>
    </xf>
    <xf numFmtId="165" fontId="29" fillId="0" borderId="1" xfId="1" applyNumberFormat="1" applyFont="1" applyBorder="1" applyAlignment="1">
      <alignment wrapText="1"/>
    </xf>
    <xf numFmtId="0" fontId="29" fillId="0" borderId="1" xfId="1" applyFont="1" applyBorder="1" applyAlignment="1">
      <alignment wrapText="1"/>
    </xf>
    <xf numFmtId="0" fontId="26" fillId="2" borderId="0" xfId="1" applyFont="1" applyFill="1" applyAlignment="1">
      <alignment horizontal="center" vertical="center"/>
    </xf>
    <xf numFmtId="165" fontId="29" fillId="0" borderId="1" xfId="2" applyNumberFormat="1" applyFont="1" applyFill="1" applyBorder="1" applyAlignment="1">
      <alignment vertical="center" wrapText="1"/>
    </xf>
    <xf numFmtId="0" fontId="28" fillId="7" borderId="1" xfId="1" applyFont="1" applyFill="1" applyBorder="1" applyAlignment="1">
      <alignment horizontal="center" vertical="center"/>
    </xf>
    <xf numFmtId="0" fontId="28" fillId="7" borderId="2" xfId="1" applyFont="1" applyFill="1" applyBorder="1" applyAlignment="1">
      <alignment horizontal="center" vertical="center"/>
    </xf>
    <xf numFmtId="0" fontId="28" fillId="7" borderId="4" xfId="1" applyFont="1" applyFill="1" applyBorder="1" applyAlignment="1">
      <alignment horizontal="center" vertical="center"/>
    </xf>
    <xf numFmtId="0" fontId="28" fillId="7" borderId="1" xfId="1" applyFont="1" applyFill="1" applyBorder="1" applyAlignment="1">
      <alignment horizontal="center" vertical="center" wrapText="1"/>
    </xf>
    <xf numFmtId="165" fontId="28" fillId="7" borderId="1" xfId="2" applyNumberFormat="1" applyFont="1" applyFill="1" applyBorder="1" applyAlignment="1">
      <alignment vertical="center" wrapText="1"/>
    </xf>
    <xf numFmtId="0" fontId="28" fillId="7" borderId="5" xfId="1" applyFont="1" applyFill="1" applyBorder="1" applyAlignment="1">
      <alignment horizontal="center" vertical="center"/>
    </xf>
    <xf numFmtId="0" fontId="29" fillId="8" borderId="1" xfId="1" applyFont="1" applyFill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wrapText="1"/>
    </xf>
    <xf numFmtId="0" fontId="29" fillId="7" borderId="1" xfId="1" applyFont="1" applyFill="1" applyBorder="1" applyAlignment="1">
      <alignment horizontal="center" vertical="center"/>
    </xf>
    <xf numFmtId="165" fontId="28" fillId="7" borderId="1" xfId="2" applyNumberFormat="1" applyFont="1" applyFill="1" applyBorder="1" applyAlignment="1">
      <alignment horizontal="center" vertical="center" wrapText="1"/>
    </xf>
    <xf numFmtId="0" fontId="26" fillId="2" borderId="0" xfId="1" applyFont="1" applyFill="1"/>
    <xf numFmtId="0" fontId="29" fillId="9" borderId="1" xfId="1" applyFont="1" applyFill="1" applyBorder="1" applyAlignment="1">
      <alignment horizontal="center" vertical="center"/>
    </xf>
    <xf numFmtId="0" fontId="29" fillId="0" borderId="1" xfId="1" quotePrefix="1" applyFont="1" applyBorder="1" applyAlignment="1">
      <alignment horizontal="center" vertical="center" wrapText="1"/>
    </xf>
    <xf numFmtId="0" fontId="29" fillId="10" borderId="1" xfId="1" applyFont="1" applyFill="1" applyBorder="1" applyAlignment="1">
      <alignment horizontal="center" vertical="center"/>
    </xf>
    <xf numFmtId="0" fontId="29" fillId="11" borderId="1" xfId="1" applyFont="1" applyFill="1" applyBorder="1" applyAlignment="1">
      <alignment horizontal="center" vertical="center"/>
    </xf>
    <xf numFmtId="0" fontId="28" fillId="0" borderId="0" xfId="1" applyFont="1" applyBorder="1" applyAlignment="1">
      <alignment horizontal="center" vertical="center"/>
    </xf>
    <xf numFmtId="0" fontId="29" fillId="0" borderId="0" xfId="1" applyFont="1" applyBorder="1" applyAlignment="1">
      <alignment horizontal="center" vertical="center"/>
    </xf>
    <xf numFmtId="0" fontId="29" fillId="0" borderId="0" xfId="1" applyFont="1" applyBorder="1" applyAlignment="1">
      <alignment horizontal="center" vertical="center" wrapText="1"/>
    </xf>
    <xf numFmtId="165" fontId="29" fillId="0" borderId="0" xfId="2" applyNumberFormat="1" applyFont="1" applyFill="1" applyBorder="1" applyAlignment="1">
      <alignment vertical="center" wrapText="1"/>
    </xf>
    <xf numFmtId="165" fontId="29" fillId="0" borderId="0" xfId="1" applyNumberFormat="1" applyFont="1" applyBorder="1" applyAlignment="1">
      <alignment wrapText="1"/>
    </xf>
    <xf numFmtId="0" fontId="29" fillId="0" borderId="0" xfId="1" applyFont="1" applyBorder="1" applyAlignment="1">
      <alignment wrapText="1"/>
    </xf>
    <xf numFmtId="164" fontId="29" fillId="0" borderId="0" xfId="1" applyNumberFormat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165" fontId="38" fillId="0" borderId="0" xfId="1" applyNumberFormat="1" applyFont="1" applyAlignment="1">
      <alignment horizontal="center" vertical="center"/>
    </xf>
    <xf numFmtId="0" fontId="38" fillId="2" borderId="0" xfId="1" applyFont="1" applyFill="1" applyAlignment="1">
      <alignment horizontal="center" vertical="center"/>
    </xf>
    <xf numFmtId="0" fontId="36" fillId="0" borderId="0" xfId="1" applyFont="1"/>
    <xf numFmtId="0" fontId="27" fillId="0" borderId="0" xfId="1" applyFont="1" applyAlignment="1">
      <alignment horizontal="center" vertical="center"/>
    </xf>
    <xf numFmtId="0" fontId="36" fillId="0" borderId="0" xfId="1" applyFont="1" applyAlignment="1">
      <alignment horizontal="center" wrapText="1"/>
    </xf>
    <xf numFmtId="0" fontId="36" fillId="0" borderId="0" xfId="1" applyFont="1" applyAlignment="1">
      <alignment horizontal="center" vertical="center"/>
    </xf>
    <xf numFmtId="0" fontId="36" fillId="0" borderId="0" xfId="1" applyFont="1" applyAlignment="1">
      <alignment wrapText="1"/>
    </xf>
    <xf numFmtId="0" fontId="27" fillId="0" borderId="0" xfId="1" applyFont="1" applyAlignment="1">
      <alignment wrapText="1"/>
    </xf>
    <xf numFmtId="0" fontId="27" fillId="0" borderId="0" xfId="1" applyFont="1" applyAlignment="1">
      <alignment horizontal="center" wrapText="1"/>
    </xf>
    <xf numFmtId="3" fontId="26" fillId="2" borderId="1" xfId="1" applyNumberFormat="1" applyFont="1" applyFill="1" applyBorder="1" applyAlignment="1">
      <alignment horizontal="center" vertical="center"/>
    </xf>
    <xf numFmtId="0" fontId="26" fillId="2" borderId="0" xfId="1" applyFont="1" applyFill="1" applyAlignment="1">
      <alignment horizontal="center" vertical="center" wrapText="1"/>
    </xf>
    <xf numFmtId="0" fontId="26" fillId="0" borderId="0" xfId="1" applyFont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9" fillId="4" borderId="1" xfId="1" applyFont="1" applyFill="1" applyBorder="1" applyAlignment="1">
      <alignment horizontal="center" vertical="center"/>
    </xf>
    <xf numFmtId="0" fontId="29" fillId="4" borderId="0" xfId="1" applyFont="1" applyFill="1" applyBorder="1" applyAlignment="1">
      <alignment horizontal="center" vertical="center"/>
    </xf>
    <xf numFmtId="3" fontId="27" fillId="2" borderId="1" xfId="1" applyNumberFormat="1" applyFont="1" applyFill="1" applyBorder="1" applyAlignment="1">
      <alignment horizontal="center" vertical="center"/>
    </xf>
    <xf numFmtId="4" fontId="26" fillId="0" borderId="0" xfId="1" applyNumberFormat="1" applyFont="1" applyAlignment="1">
      <alignment horizontal="center" vertical="center"/>
    </xf>
    <xf numFmtId="0" fontId="27" fillId="2" borderId="0" xfId="1" applyFont="1" applyFill="1" applyBorder="1" applyAlignment="1">
      <alignment horizontal="center" vertical="center" wrapText="1"/>
    </xf>
    <xf numFmtId="3" fontId="27" fillId="0" borderId="0" xfId="1" applyNumberFormat="1" applyFont="1" applyBorder="1" applyAlignment="1">
      <alignment horizontal="center" vertical="center"/>
    </xf>
    <xf numFmtId="3" fontId="26" fillId="2" borderId="0" xfId="1" applyNumberFormat="1" applyFont="1" applyFill="1" applyBorder="1" applyAlignment="1">
      <alignment horizontal="center" vertical="center"/>
    </xf>
    <xf numFmtId="0" fontId="26" fillId="4" borderId="1" xfId="1" applyFont="1" applyFill="1" applyBorder="1" applyAlignment="1">
      <alignment horizontal="center" vertical="center" wrapText="1"/>
    </xf>
    <xf numFmtId="0" fontId="27" fillId="4" borderId="1" xfId="1" applyFont="1" applyFill="1" applyBorder="1" applyAlignment="1">
      <alignment horizontal="center" vertical="center" wrapText="1"/>
    </xf>
    <xf numFmtId="0" fontId="27" fillId="4" borderId="1" xfId="1" applyFont="1" applyFill="1" applyBorder="1" applyAlignment="1">
      <alignment horizontal="center" vertical="center" wrapText="1"/>
    </xf>
    <xf numFmtId="0" fontId="26" fillId="4" borderId="1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 xr:uid="{9B32108D-EE06-4264-AE46-4FBFF883E88A}"/>
    <cellStyle name="Обычный 2 2" xfId="3" xr:uid="{5C2C9C7C-4387-4DDF-B544-75676184B68D}"/>
    <cellStyle name="Финансовый 2" xfId="2" xr:uid="{E6C70CBF-C454-4DE7-90D0-077C6DBBE276}"/>
    <cellStyle name="Финансовый 2 2" xfId="4" xr:uid="{DB184071-1C8B-4A5E-9E79-7FFC46886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zizn\Downloads\Telegram%20Desktop\&#1048;&#1090;&#1086;&#1075;%20134%20(8).xlsx" TargetMode="External"/><Relationship Id="rId1" Type="http://schemas.openxmlformats.org/officeDocument/2006/relationships/externalLinkPath" Target="/Users/azizn/Downloads/Telegram%20Desktop/&#1048;&#1090;&#1086;&#1075;%20134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Нотурар"/>
      <sheetName val="Турар"/>
      <sheetName val="Турар Лотлар "/>
      <sheetName val="лот бўйича хк"/>
      <sheetName val="Нотурар Лотлар"/>
      <sheetName val="Турар Вьетнам карта"/>
      <sheetName val="Нотурар Лотлар Вьет"/>
      <sheetName val="лот бўйича хк ВЬет"/>
    </sheetNames>
    <sheetDataSet>
      <sheetData sheetId="0"/>
      <sheetData sheetId="1">
        <row r="20">
          <cell r="L20">
            <v>37980000</v>
          </cell>
        </row>
      </sheetData>
      <sheetData sheetId="2">
        <row r="157">
          <cell r="A157">
            <v>151</v>
          </cell>
        </row>
      </sheetData>
      <sheetData sheetId="3">
        <row r="24">
          <cell r="S24">
            <v>64790</v>
          </cell>
        </row>
        <row r="119">
          <cell r="S119">
            <v>63740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DE05-2FF9-46B1-B603-10F7A98A8F0C}">
  <sheetPr>
    <tabColor rgb="FFFF0000"/>
  </sheetPr>
  <dimension ref="A1:I43"/>
  <sheetViews>
    <sheetView topLeftCell="A6" zoomScaleNormal="100" workbookViewId="0">
      <selection activeCell="F29" activeCellId="1" sqref="F23 F29"/>
    </sheetView>
  </sheetViews>
  <sheetFormatPr defaultRowHeight="14.4" x14ac:dyDescent="0.55000000000000004"/>
  <cols>
    <col min="1" max="1" width="3.578125" customWidth="1"/>
    <col min="2" max="2" width="28.734375" customWidth="1"/>
    <col min="3" max="3" width="18.62890625" customWidth="1"/>
    <col min="4" max="4" width="13" customWidth="1"/>
    <col min="5" max="5" width="12.3125" customWidth="1"/>
    <col min="6" max="6" width="12.68359375" customWidth="1"/>
    <col min="8" max="8" width="13" bestFit="1" customWidth="1"/>
    <col min="9" max="9" width="10.9453125" bestFit="1" customWidth="1"/>
  </cols>
  <sheetData>
    <row r="1" spans="1:6" s="9" customFormat="1" ht="18.3" x14ac:dyDescent="0.7">
      <c r="A1" s="51" t="s">
        <v>1</v>
      </c>
      <c r="B1" s="51"/>
      <c r="C1" s="51"/>
      <c r="D1" s="51"/>
      <c r="E1" s="51"/>
      <c r="F1" s="51"/>
    </row>
    <row r="2" spans="1:6" s="10" customFormat="1" ht="21.3" x14ac:dyDescent="0.85">
      <c r="A2" s="52" t="s">
        <v>0</v>
      </c>
      <c r="B2" s="52"/>
      <c r="C2" s="52"/>
      <c r="D2" s="52"/>
      <c r="E2" s="52"/>
      <c r="F2" s="52"/>
    </row>
    <row r="3" spans="1:6" ht="5.4" customHeight="1" x14ac:dyDescent="0.55000000000000004"/>
    <row r="4" spans="1:6" s="6" customFormat="1" ht="18.3" x14ac:dyDescent="0.7">
      <c r="A4" s="38" t="s">
        <v>2</v>
      </c>
      <c r="B4" s="38"/>
      <c r="C4" s="38"/>
      <c r="D4" s="38"/>
      <c r="E4" s="38"/>
      <c r="F4" s="38"/>
    </row>
    <row r="5" spans="1:6" ht="3.9" customHeight="1" x14ac:dyDescent="0.55000000000000004"/>
    <row r="6" spans="1:6" s="8" customFormat="1" ht="17.7" x14ac:dyDescent="0.55000000000000004">
      <c r="A6" s="39" t="s">
        <v>36</v>
      </c>
      <c r="B6" s="39"/>
      <c r="C6" s="11" t="s">
        <v>5</v>
      </c>
      <c r="D6" s="48" t="s">
        <v>31</v>
      </c>
      <c r="E6" s="48"/>
      <c r="F6" s="11" t="s">
        <v>16</v>
      </c>
    </row>
    <row r="7" spans="1:6" ht="15.6" x14ac:dyDescent="0.6">
      <c r="A7" s="22" t="s">
        <v>10</v>
      </c>
      <c r="B7" s="15" t="s">
        <v>3</v>
      </c>
      <c r="C7" s="16">
        <v>151</v>
      </c>
      <c r="D7" s="47">
        <f>Турар!H165</f>
        <v>117891</v>
      </c>
      <c r="E7" s="47"/>
      <c r="F7" s="14">
        <v>77000000</v>
      </c>
    </row>
    <row r="8" spans="1:6" ht="15.6" x14ac:dyDescent="0.6">
      <c r="A8" s="22" t="s">
        <v>10</v>
      </c>
      <c r="B8" s="15" t="s">
        <v>4</v>
      </c>
      <c r="C8" s="16">
        <v>16</v>
      </c>
      <c r="D8" s="47">
        <f>Нотурар!H27-ХК!D9</f>
        <v>23771</v>
      </c>
      <c r="E8" s="47"/>
      <c r="F8" s="14">
        <v>23900000</v>
      </c>
    </row>
    <row r="9" spans="1:6" ht="15.6" x14ac:dyDescent="0.6">
      <c r="A9" s="22" t="s">
        <v>10</v>
      </c>
      <c r="B9" s="15" t="s">
        <v>14</v>
      </c>
      <c r="C9" s="16">
        <v>2</v>
      </c>
      <c r="D9" s="47">
        <f>Нотурар!H10+Нотурар!H11</f>
        <v>56901</v>
      </c>
      <c r="E9" s="47"/>
      <c r="F9" s="14">
        <v>15000000</v>
      </c>
    </row>
    <row r="10" spans="1:6" s="5" customFormat="1" ht="15.6" x14ac:dyDescent="0.55000000000000004">
      <c r="A10" s="40" t="s">
        <v>18</v>
      </c>
      <c r="B10" s="40"/>
      <c r="C10" s="40"/>
      <c r="D10" s="40"/>
      <c r="E10" s="40"/>
      <c r="F10" s="23">
        <f>SUM(F7:F9)</f>
        <v>115900000</v>
      </c>
    </row>
    <row r="11" spans="1:6" ht="6.6" customHeight="1" x14ac:dyDescent="0.55000000000000004">
      <c r="A11" s="3"/>
      <c r="B11" s="2"/>
    </row>
    <row r="12" spans="1:6" ht="14.7" customHeight="1" x14ac:dyDescent="0.55000000000000004">
      <c r="A12" s="3"/>
      <c r="B12" s="50" t="s">
        <v>12</v>
      </c>
      <c r="C12" s="50"/>
      <c r="D12" s="50"/>
      <c r="E12" s="50"/>
      <c r="F12" s="50"/>
    </row>
    <row r="13" spans="1:6" ht="14.7" customHeight="1" x14ac:dyDescent="0.55000000000000004">
      <c r="A13" s="3"/>
      <c r="B13" s="50" t="s">
        <v>13</v>
      </c>
      <c r="C13" s="50"/>
      <c r="D13" s="50"/>
      <c r="E13" s="50"/>
      <c r="F13" s="50"/>
    </row>
    <row r="14" spans="1:6" ht="14.7" customHeight="1" x14ac:dyDescent="0.55000000000000004">
      <c r="A14" s="3"/>
      <c r="B14" s="50" t="s">
        <v>15</v>
      </c>
      <c r="C14" s="50"/>
      <c r="D14" s="50"/>
      <c r="E14" s="50"/>
      <c r="F14" s="26"/>
    </row>
    <row r="15" spans="1:6" ht="6.3" customHeight="1" x14ac:dyDescent="0.55000000000000004"/>
    <row r="16" spans="1:6" s="7" customFormat="1" ht="15.6" x14ac:dyDescent="0.55000000000000004">
      <c r="A16" s="39" t="s">
        <v>37</v>
      </c>
      <c r="B16" s="39"/>
      <c r="C16" s="11" t="s">
        <v>23</v>
      </c>
      <c r="D16" s="11" t="s">
        <v>11</v>
      </c>
      <c r="E16" s="11" t="s">
        <v>30</v>
      </c>
      <c r="F16" s="11" t="s">
        <v>16</v>
      </c>
    </row>
    <row r="17" spans="1:9" ht="15.6" x14ac:dyDescent="0.6">
      <c r="A17" s="13" t="s">
        <v>10</v>
      </c>
      <c r="B17" s="15" t="s">
        <v>7</v>
      </c>
      <c r="C17" s="16" t="s">
        <v>24</v>
      </c>
      <c r="D17" s="17" t="s">
        <v>19</v>
      </c>
      <c r="E17" s="14">
        <v>1000000</v>
      </c>
      <c r="F17" s="14">
        <v>3600000</v>
      </c>
    </row>
    <row r="18" spans="1:9" ht="29.1" customHeight="1" x14ac:dyDescent="0.6">
      <c r="A18" s="13" t="s">
        <v>10</v>
      </c>
      <c r="B18" s="18" t="s">
        <v>20</v>
      </c>
      <c r="C18" s="19" t="s">
        <v>25</v>
      </c>
      <c r="D18" s="17" t="s">
        <v>21</v>
      </c>
      <c r="E18" s="14">
        <v>450000</v>
      </c>
      <c r="F18" s="14">
        <v>900000</v>
      </c>
    </row>
    <row r="19" spans="1:9" ht="15.6" x14ac:dyDescent="0.6">
      <c r="A19" s="13" t="s">
        <v>10</v>
      </c>
      <c r="B19" s="15" t="s">
        <v>22</v>
      </c>
      <c r="C19" s="16" t="s">
        <v>26</v>
      </c>
      <c r="D19" s="17" t="s">
        <v>19</v>
      </c>
      <c r="E19" s="14">
        <v>205000</v>
      </c>
      <c r="F19" s="14">
        <v>738000</v>
      </c>
    </row>
    <row r="20" spans="1:9" ht="15.6" x14ac:dyDescent="0.6">
      <c r="A20" s="13" t="s">
        <v>10</v>
      </c>
      <c r="B20" s="15" t="s">
        <v>8</v>
      </c>
      <c r="C20" s="16" t="s">
        <v>27</v>
      </c>
      <c r="D20" s="17" t="s">
        <v>19</v>
      </c>
      <c r="E20" s="14">
        <v>60000</v>
      </c>
      <c r="F20" s="14">
        <v>216000</v>
      </c>
    </row>
    <row r="21" spans="1:9" ht="15.6" x14ac:dyDescent="0.6">
      <c r="A21" s="13" t="s">
        <v>10</v>
      </c>
      <c r="B21" s="15" t="s">
        <v>9</v>
      </c>
      <c r="C21" s="16" t="s">
        <v>28</v>
      </c>
      <c r="D21" s="17" t="s">
        <v>19</v>
      </c>
      <c r="E21" s="14">
        <v>75000</v>
      </c>
      <c r="F21" s="14">
        <v>270000</v>
      </c>
    </row>
    <row r="22" spans="1:9" ht="32.4" customHeight="1" x14ac:dyDescent="0.6">
      <c r="A22" s="13" t="s">
        <v>10</v>
      </c>
      <c r="B22" s="18" t="s">
        <v>17</v>
      </c>
      <c r="C22" s="16" t="s">
        <v>29</v>
      </c>
      <c r="D22" s="20" t="s">
        <v>39</v>
      </c>
      <c r="E22" s="21">
        <v>100</v>
      </c>
      <c r="F22" s="21">
        <v>4000000</v>
      </c>
      <c r="G22" s="1"/>
    </row>
    <row r="23" spans="1:9" ht="15.6" x14ac:dyDescent="0.55000000000000004">
      <c r="A23" s="40" t="s">
        <v>18</v>
      </c>
      <c r="B23" s="40"/>
      <c r="C23" s="40"/>
      <c r="D23" s="40"/>
      <c r="E23" s="40"/>
      <c r="F23" s="23">
        <f>SUM(F17:F22)</f>
        <v>9724000</v>
      </c>
      <c r="H23" s="4"/>
      <c r="I23" s="4"/>
    </row>
    <row r="24" spans="1:9" ht="7.2" customHeight="1" x14ac:dyDescent="0.55000000000000004">
      <c r="A24" s="1"/>
    </row>
    <row r="25" spans="1:9" ht="15.6" x14ac:dyDescent="0.55000000000000004">
      <c r="A25" s="39" t="s">
        <v>32</v>
      </c>
      <c r="B25" s="39"/>
      <c r="C25" s="39"/>
      <c r="D25" s="39"/>
      <c r="E25" s="39"/>
      <c r="F25" s="39"/>
    </row>
    <row r="26" spans="1:9" ht="15.6" x14ac:dyDescent="0.55000000000000004">
      <c r="A26" s="13" t="s">
        <v>10</v>
      </c>
      <c r="B26" s="33" t="s">
        <v>43</v>
      </c>
      <c r="C26" s="34"/>
      <c r="D26" s="34"/>
      <c r="E26" s="35"/>
      <c r="F26" s="14">
        <v>1000000</v>
      </c>
    </row>
    <row r="27" spans="1:9" ht="15.6" x14ac:dyDescent="0.6">
      <c r="A27" s="13" t="s">
        <v>10</v>
      </c>
      <c r="B27" s="49" t="s">
        <v>33</v>
      </c>
      <c r="C27" s="49"/>
      <c r="D27" s="49"/>
      <c r="E27" s="49"/>
      <c r="F27" s="14">
        <v>6000000</v>
      </c>
    </row>
    <row r="28" spans="1:9" ht="15.6" x14ac:dyDescent="0.6">
      <c r="A28" s="13" t="s">
        <v>10</v>
      </c>
      <c r="B28" s="44" t="s">
        <v>34</v>
      </c>
      <c r="C28" s="45"/>
      <c r="D28" s="45"/>
      <c r="E28" s="46"/>
      <c r="F28" s="14">
        <v>1800000</v>
      </c>
    </row>
    <row r="29" spans="1:9" ht="15.6" x14ac:dyDescent="0.55000000000000004">
      <c r="A29" s="40" t="s">
        <v>18</v>
      </c>
      <c r="B29" s="40"/>
      <c r="C29" s="40"/>
      <c r="D29" s="40"/>
      <c r="E29" s="40"/>
      <c r="F29" s="23">
        <f>SUM(F26:F28)</f>
        <v>8800000</v>
      </c>
    </row>
    <row r="30" spans="1:9" x14ac:dyDescent="0.55000000000000004">
      <c r="A30" s="1"/>
    </row>
    <row r="31" spans="1:9" ht="18.3" x14ac:dyDescent="0.7">
      <c r="A31" s="41" t="s">
        <v>35</v>
      </c>
      <c r="B31" s="41"/>
      <c r="C31" s="41"/>
      <c r="D31" s="41"/>
      <c r="E31" s="42">
        <f>F10+F23+F29</f>
        <v>134424000</v>
      </c>
      <c r="F31" s="43"/>
    </row>
    <row r="32" spans="1:9" ht="4.8" customHeight="1" x14ac:dyDescent="0.55000000000000004"/>
    <row r="33" spans="1:6" ht="3.6" customHeight="1" x14ac:dyDescent="0.55000000000000004">
      <c r="A33" s="12"/>
      <c r="B33" s="12"/>
      <c r="C33" s="12"/>
      <c r="D33" s="12"/>
      <c r="E33" s="12"/>
      <c r="F33" s="12"/>
    </row>
    <row r="34" spans="1:6" ht="5.7" customHeight="1" x14ac:dyDescent="0.55000000000000004"/>
    <row r="35" spans="1:6" ht="18.3" x14ac:dyDescent="0.7">
      <c r="A35" s="37" t="s">
        <v>38</v>
      </c>
      <c r="B35" s="37"/>
      <c r="C35" s="37"/>
      <c r="D35" s="37"/>
      <c r="E35" s="37"/>
      <c r="F35" s="37"/>
    </row>
    <row r="36" spans="1:6" ht="4.5" customHeight="1" x14ac:dyDescent="0.55000000000000004"/>
    <row r="37" spans="1:6" s="9" customFormat="1" ht="18.3" x14ac:dyDescent="0.7">
      <c r="A37" s="24" t="s">
        <v>6</v>
      </c>
      <c r="B37" s="31" t="s">
        <v>40</v>
      </c>
      <c r="C37" s="32"/>
      <c r="D37" s="28">
        <f>E31</f>
        <v>134424000</v>
      </c>
      <c r="E37" s="29"/>
      <c r="F37" s="30"/>
    </row>
    <row r="38" spans="1:6" s="9" customFormat="1" ht="20.399999999999999" x14ac:dyDescent="0.7">
      <c r="A38" s="24" t="s">
        <v>6</v>
      </c>
      <c r="B38" s="25" t="s">
        <v>41</v>
      </c>
      <c r="C38" s="25"/>
      <c r="D38" s="28">
        <v>179000</v>
      </c>
      <c r="E38" s="29"/>
      <c r="F38" s="30"/>
    </row>
    <row r="39" spans="1:6" s="9" customFormat="1" ht="20.399999999999999" x14ac:dyDescent="0.7">
      <c r="A39" s="24" t="s">
        <v>6</v>
      </c>
      <c r="B39" s="31" t="s">
        <v>42</v>
      </c>
      <c r="C39" s="32"/>
      <c r="D39" s="28">
        <f>D37/D38</f>
        <v>750.97206703910615</v>
      </c>
      <c r="E39" s="29"/>
      <c r="F39" s="30"/>
    </row>
    <row r="41" spans="1:6" x14ac:dyDescent="0.55000000000000004">
      <c r="B41" s="36" t="s">
        <v>44</v>
      </c>
      <c r="C41" s="36"/>
      <c r="D41" s="36"/>
      <c r="E41" s="36"/>
      <c r="F41" s="36"/>
    </row>
    <row r="42" spans="1:6" ht="34.799999999999997" customHeight="1" x14ac:dyDescent="0.55000000000000004">
      <c r="B42" s="36"/>
      <c r="C42" s="36"/>
      <c r="D42" s="36"/>
      <c r="E42" s="36"/>
      <c r="F42" s="36"/>
    </row>
    <row r="43" spans="1:6" ht="9.3000000000000007" customHeight="1" x14ac:dyDescent="0.55000000000000004">
      <c r="B43" s="27"/>
      <c r="C43" s="27"/>
      <c r="D43" s="27"/>
      <c r="E43" s="27"/>
      <c r="F43" s="27"/>
    </row>
  </sheetData>
  <mergeCells count="28">
    <mergeCell ref="B13:F13"/>
    <mergeCell ref="A23:E23"/>
    <mergeCell ref="B14:E14"/>
    <mergeCell ref="A1:F1"/>
    <mergeCell ref="A2:F2"/>
    <mergeCell ref="A6:B6"/>
    <mergeCell ref="A16:B16"/>
    <mergeCell ref="B41:F42"/>
    <mergeCell ref="A35:F35"/>
    <mergeCell ref="A4:F4"/>
    <mergeCell ref="D37:F37"/>
    <mergeCell ref="A25:F25"/>
    <mergeCell ref="A29:E29"/>
    <mergeCell ref="A31:D31"/>
    <mergeCell ref="E31:F31"/>
    <mergeCell ref="B28:E28"/>
    <mergeCell ref="D9:E9"/>
    <mergeCell ref="D8:E8"/>
    <mergeCell ref="D7:E7"/>
    <mergeCell ref="D6:E6"/>
    <mergeCell ref="A10:E10"/>
    <mergeCell ref="B27:E27"/>
    <mergeCell ref="B12:F12"/>
    <mergeCell ref="D38:F38"/>
    <mergeCell ref="D39:F39"/>
    <mergeCell ref="B39:C39"/>
    <mergeCell ref="B37:C37"/>
    <mergeCell ref="B26:E2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A9BB-EC93-4F61-BC38-8682BFF04558}">
  <sheetPr>
    <tabColor theme="1"/>
    <pageSetUpPr fitToPage="1"/>
  </sheetPr>
  <dimension ref="A1:T37"/>
  <sheetViews>
    <sheetView tabSelected="1" zoomScaleNormal="100" workbookViewId="0">
      <selection activeCell="F13" sqref="F13"/>
    </sheetView>
  </sheetViews>
  <sheetFormatPr defaultColWidth="9.47265625" defaultRowHeight="15.6" x14ac:dyDescent="0.6"/>
  <cols>
    <col min="1" max="1" width="9.47265625" style="113"/>
    <col min="2" max="2" width="15.1015625" style="113" customWidth="1"/>
    <col min="3" max="3" width="22.3125" style="113" bestFit="1" customWidth="1"/>
    <col min="4" max="4" width="12.734375" style="113" bestFit="1" customWidth="1"/>
    <col min="5" max="5" width="22.9453125" style="113" customWidth="1"/>
    <col min="6" max="6" width="19.41796875" style="113" customWidth="1"/>
    <col min="7" max="8" width="15.3125" style="113" customWidth="1"/>
    <col min="9" max="9" width="9.47265625" style="113"/>
    <col min="10" max="10" width="12.734375" style="113" bestFit="1" customWidth="1"/>
    <col min="11" max="16384" width="9.47265625" style="113"/>
  </cols>
  <sheetData>
    <row r="1" spans="1:10" s="109" customFormat="1" ht="72.599999999999994" customHeight="1" x14ac:dyDescent="0.6">
      <c r="A1" s="174" t="s">
        <v>47</v>
      </c>
      <c r="B1" s="174" t="s">
        <v>651</v>
      </c>
      <c r="C1" s="175" t="s">
        <v>650</v>
      </c>
      <c r="D1" s="175"/>
      <c r="E1" s="175" t="s">
        <v>654</v>
      </c>
      <c r="F1" s="174" t="s">
        <v>655</v>
      </c>
      <c r="G1" s="174" t="s">
        <v>656</v>
      </c>
      <c r="H1" s="171"/>
    </row>
    <row r="2" spans="1:10" s="164" customFormat="1" x14ac:dyDescent="0.55000000000000004">
      <c r="A2" s="174"/>
      <c r="B2" s="174"/>
      <c r="C2" s="176" t="s">
        <v>45</v>
      </c>
      <c r="D2" s="176" t="s">
        <v>46</v>
      </c>
      <c r="E2" s="175"/>
      <c r="F2" s="177"/>
      <c r="G2" s="174"/>
      <c r="H2" s="171"/>
    </row>
    <row r="3" spans="1:10" s="165" customFormat="1" x14ac:dyDescent="0.55000000000000004">
      <c r="A3" s="53">
        <v>1</v>
      </c>
      <c r="B3" s="110">
        <v>6900</v>
      </c>
      <c r="C3" s="110">
        <f>Турар!Q6</f>
        <v>8024700</v>
      </c>
      <c r="D3" s="110"/>
      <c r="E3" s="110">
        <f>(ХК!$F$23+ХК!$F$29)/$B$17*B3</f>
        <v>714053.63128491619</v>
      </c>
      <c r="F3" s="110">
        <f>C3+D3+E3</f>
        <v>8738753.6312849168</v>
      </c>
      <c r="G3" s="110">
        <f>F3/B3</f>
        <v>1266.4860335195531</v>
      </c>
      <c r="H3" s="172"/>
    </row>
    <row r="4" spans="1:10" s="165" customFormat="1" x14ac:dyDescent="0.55000000000000004">
      <c r="A4" s="53">
        <v>2</v>
      </c>
      <c r="B4" s="110">
        <v>17300</v>
      </c>
      <c r="C4" s="110">
        <f>Турар!Q20</f>
        <v>8070350</v>
      </c>
      <c r="D4" s="110"/>
      <c r="E4" s="110">
        <f>(ХК!$F$23+ХК!$F$29)/$B$17*B4</f>
        <v>1790308.3798882682</v>
      </c>
      <c r="F4" s="110">
        <f t="shared" ref="F4:F16" si="0">C4+D4+E4</f>
        <v>9860658.3798882682</v>
      </c>
      <c r="G4" s="110">
        <f t="shared" ref="G4:G16" si="1">F4/B4</f>
        <v>569.98025317273232</v>
      </c>
      <c r="H4" s="172"/>
    </row>
    <row r="5" spans="1:10" s="165" customFormat="1" x14ac:dyDescent="0.55000000000000004">
      <c r="A5" s="53">
        <v>3</v>
      </c>
      <c r="B5" s="110">
        <v>6500</v>
      </c>
      <c r="C5" s="110">
        <f>Турар!Q23</f>
        <v>697800</v>
      </c>
      <c r="D5" s="110">
        <f>Нотурар!L4</f>
        <v>706000</v>
      </c>
      <c r="E5" s="110">
        <f>(ХК!$F$23+ХК!$F$29)/$B$17*B5</f>
        <v>672659.21787709498</v>
      </c>
      <c r="F5" s="110">
        <f t="shared" si="0"/>
        <v>2076459.2178770951</v>
      </c>
      <c r="G5" s="110">
        <f t="shared" si="1"/>
        <v>319.45526428878384</v>
      </c>
      <c r="H5" s="172"/>
      <c r="J5" s="170">
        <v>20618000</v>
      </c>
    </row>
    <row r="6" spans="1:10" s="165" customFormat="1" x14ac:dyDescent="0.55000000000000004">
      <c r="A6" s="53">
        <v>4</v>
      </c>
      <c r="B6" s="110">
        <v>5900</v>
      </c>
      <c r="C6" s="110"/>
      <c r="D6" s="110">
        <f>Нотурар!L6</f>
        <v>1044999.9999999999</v>
      </c>
      <c r="E6" s="110">
        <f>(ХК!$F$23+ХК!$F$29)/$B$17*B6</f>
        <v>610567.59776536317</v>
      </c>
      <c r="F6" s="110">
        <f t="shared" si="0"/>
        <v>1655567.5977653631</v>
      </c>
      <c r="G6" s="110">
        <f t="shared" si="1"/>
        <v>280.60467758734967</v>
      </c>
      <c r="H6" s="172"/>
    </row>
    <row r="7" spans="1:10" s="165" customFormat="1" x14ac:dyDescent="0.55000000000000004">
      <c r="A7" s="53">
        <v>5</v>
      </c>
      <c r="B7" s="110">
        <v>14600</v>
      </c>
      <c r="C7" s="110"/>
      <c r="D7" s="110">
        <f>$J$5/($B$7+$B$8+$B$9)*B7</f>
        <v>10238870.748299321</v>
      </c>
      <c r="E7" s="110">
        <f>(ХК!$F$23+ХК!$F$29)/$B$17*B7</f>
        <v>1510896.0893854748</v>
      </c>
      <c r="F7" s="110">
        <f t="shared" si="0"/>
        <v>11749766.837684795</v>
      </c>
      <c r="G7" s="110">
        <f t="shared" si="1"/>
        <v>804.77855052635584</v>
      </c>
      <c r="H7" s="172"/>
    </row>
    <row r="8" spans="1:10" s="165" customFormat="1" x14ac:dyDescent="0.55000000000000004">
      <c r="A8" s="53">
        <v>6</v>
      </c>
      <c r="B8" s="110">
        <v>6300</v>
      </c>
      <c r="C8" s="110"/>
      <c r="D8" s="110">
        <f>$J$5/($B$7+$B$8+$B$9)*B8</f>
        <v>4418142.8571428573</v>
      </c>
      <c r="E8" s="110">
        <f>(ХК!$F$23+ХК!$F$29)/$B$17*B8</f>
        <v>651962.01117318438</v>
      </c>
      <c r="F8" s="110">
        <f t="shared" si="0"/>
        <v>5070104.8683160413</v>
      </c>
      <c r="G8" s="110">
        <f t="shared" si="1"/>
        <v>804.77855052635573</v>
      </c>
      <c r="H8" s="172"/>
    </row>
    <row r="9" spans="1:10" s="165" customFormat="1" x14ac:dyDescent="0.55000000000000004">
      <c r="A9" s="53">
        <v>7</v>
      </c>
      <c r="B9" s="110">
        <v>8500</v>
      </c>
      <c r="C9" s="110"/>
      <c r="D9" s="110">
        <f>$J$5/($B$7+$B$8+$B$9)*B9</f>
        <v>5960986.3945578234</v>
      </c>
      <c r="E9" s="110">
        <f>(ХК!$F$23+ХК!$F$29)/$B$17*B9</f>
        <v>879631.28491620114</v>
      </c>
      <c r="F9" s="110">
        <f t="shared" si="0"/>
        <v>6840617.6794740241</v>
      </c>
      <c r="G9" s="110">
        <f t="shared" si="1"/>
        <v>804.77855052635573</v>
      </c>
      <c r="H9" s="172"/>
    </row>
    <row r="10" spans="1:10" s="165" customFormat="1" x14ac:dyDescent="0.55000000000000004">
      <c r="A10" s="53">
        <v>8</v>
      </c>
      <c r="B10" s="110">
        <v>8400</v>
      </c>
      <c r="C10" s="110">
        <f>Турар!Q29</f>
        <v>1629100</v>
      </c>
      <c r="D10" s="110">
        <f>Нотурар!L15</f>
        <v>1098000</v>
      </c>
      <c r="E10" s="110">
        <f>(ХК!$F$23+ХК!$F$29)/$B$17*B10</f>
        <v>869282.68156424584</v>
      </c>
      <c r="F10" s="110">
        <f t="shared" si="0"/>
        <v>3596382.6815642458</v>
      </c>
      <c r="G10" s="110">
        <f t="shared" si="1"/>
        <v>428.140795424315</v>
      </c>
      <c r="H10" s="172"/>
    </row>
    <row r="11" spans="1:10" s="165" customFormat="1" x14ac:dyDescent="0.55000000000000004">
      <c r="A11" s="53">
        <v>9</v>
      </c>
      <c r="B11" s="110">
        <v>22200</v>
      </c>
      <c r="C11" s="110">
        <f>Турар!Q62</f>
        <v>13881100</v>
      </c>
      <c r="D11" s="110">
        <f>Нотурар!L17</f>
        <v>2328000</v>
      </c>
      <c r="E11" s="110">
        <f>(ХК!$F$23+ХК!$F$29)/$B$17*B11</f>
        <v>2297389.9441340785</v>
      </c>
      <c r="F11" s="110">
        <f t="shared" si="0"/>
        <v>18506489.944134079</v>
      </c>
      <c r="G11" s="110">
        <f t="shared" si="1"/>
        <v>833.62567315919273</v>
      </c>
      <c r="H11" s="172"/>
    </row>
    <row r="12" spans="1:10" s="165" customFormat="1" x14ac:dyDescent="0.55000000000000004">
      <c r="A12" s="53">
        <v>10</v>
      </c>
      <c r="B12" s="110">
        <v>20400</v>
      </c>
      <c r="C12" s="110">
        <f>Турар!Q100</f>
        <v>16654403</v>
      </c>
      <c r="D12" s="110">
        <f>'[1]Турар Лотлар '!S119</f>
        <v>63740</v>
      </c>
      <c r="E12" s="110">
        <f>(ХК!$F$23+ХК!$F$29)/$B$17*B12</f>
        <v>2111115.0837988826</v>
      </c>
      <c r="F12" s="110">
        <f t="shared" si="0"/>
        <v>18829258.083798882</v>
      </c>
      <c r="G12" s="110">
        <f t="shared" si="1"/>
        <v>923.0028472450432</v>
      </c>
      <c r="H12" s="172"/>
    </row>
    <row r="13" spans="1:10" s="165" customFormat="1" x14ac:dyDescent="0.55000000000000004">
      <c r="A13" s="53">
        <v>11</v>
      </c>
      <c r="B13" s="53">
        <v>2400</v>
      </c>
      <c r="C13" s="110" t="s">
        <v>652</v>
      </c>
      <c r="D13" s="169"/>
      <c r="E13" s="110">
        <f>(ХК!$F$23+ХК!$F$29)/$B$17*B13</f>
        <v>248366.48044692737</v>
      </c>
      <c r="F13" s="110">
        <f>E13</f>
        <v>248366.48044692737</v>
      </c>
      <c r="G13" s="110">
        <f t="shared" si="1"/>
        <v>103.48603351955308</v>
      </c>
      <c r="H13" s="172"/>
    </row>
    <row r="14" spans="1:10" s="165" customFormat="1" x14ac:dyDescent="0.55000000000000004">
      <c r="A14" s="53">
        <v>12</v>
      </c>
      <c r="B14" s="110">
        <v>39300</v>
      </c>
      <c r="C14" s="110">
        <f>Турар!Q141</f>
        <v>18398000</v>
      </c>
      <c r="D14" s="110">
        <f>Нотурар!L24</f>
        <v>11893000</v>
      </c>
      <c r="E14" s="110">
        <f>(ХК!$F$23+ХК!$F$29)/$B$17*B14</f>
        <v>4067001.117318436</v>
      </c>
      <c r="F14" s="110">
        <f t="shared" si="0"/>
        <v>34358001.117318437</v>
      </c>
      <c r="G14" s="110">
        <f t="shared" si="1"/>
        <v>874.24939229817903</v>
      </c>
      <c r="H14" s="172"/>
    </row>
    <row r="15" spans="1:10" s="165" customFormat="1" x14ac:dyDescent="0.55000000000000004">
      <c r="A15" s="53">
        <v>13</v>
      </c>
      <c r="B15" s="110">
        <v>5100</v>
      </c>
      <c r="C15" s="110">
        <f>Турар!Q149</f>
        <v>2821200</v>
      </c>
      <c r="D15" s="110"/>
      <c r="E15" s="110">
        <f>(ХК!$F$23+ХК!$F$29)/$B$17*B15</f>
        <v>527778.77094972064</v>
      </c>
      <c r="F15" s="110">
        <f t="shared" si="0"/>
        <v>3348978.7709497204</v>
      </c>
      <c r="G15" s="110">
        <f t="shared" si="1"/>
        <v>656.66250410778832</v>
      </c>
      <c r="H15" s="172"/>
    </row>
    <row r="16" spans="1:10" s="165" customFormat="1" x14ac:dyDescent="0.55000000000000004">
      <c r="A16" s="53">
        <v>14</v>
      </c>
      <c r="B16" s="110">
        <v>15200</v>
      </c>
      <c r="C16" s="110">
        <f>Турар!Q161</f>
        <v>6182800</v>
      </c>
      <c r="D16" s="110">
        <f>Нотурар!L26</f>
        <v>1150000</v>
      </c>
      <c r="E16" s="110">
        <f>(ХК!$F$23+ХК!$F$29)/$B$17*B16</f>
        <v>1572987.7094972068</v>
      </c>
      <c r="F16" s="110">
        <f t="shared" si="0"/>
        <v>8905787.7094972059</v>
      </c>
      <c r="G16" s="110">
        <f t="shared" si="1"/>
        <v>585.90708615113192</v>
      </c>
      <c r="H16" s="172"/>
    </row>
    <row r="17" spans="1:8" s="128" customFormat="1" x14ac:dyDescent="0.55000000000000004">
      <c r="A17" s="112" t="s">
        <v>653</v>
      </c>
      <c r="B17" s="163">
        <f>SUM(B3:B16)</f>
        <v>179000</v>
      </c>
      <c r="C17" s="163">
        <f>SUM(C3:C16)</f>
        <v>76359453</v>
      </c>
      <c r="D17" s="163">
        <f>SUM(D3:D16)</f>
        <v>38901740</v>
      </c>
      <c r="E17" s="163">
        <f>SUM(E3:E16)</f>
        <v>18524000</v>
      </c>
      <c r="F17" s="163">
        <f t="shared" ref="F17" si="2">SUM(F3:F16)</f>
        <v>133785193</v>
      </c>
      <c r="G17" s="163"/>
      <c r="H17" s="173"/>
    </row>
    <row r="20" spans="1:8" ht="71.05" hidden="1" customHeight="1" x14ac:dyDescent="0.6">
      <c r="A20" s="166" t="s">
        <v>48</v>
      </c>
      <c r="B20" s="166"/>
      <c r="C20" s="166"/>
      <c r="D20" s="166"/>
    </row>
    <row r="21" spans="1:8" ht="31.2" hidden="1" x14ac:dyDescent="0.6">
      <c r="A21" s="114" t="s">
        <v>47</v>
      </c>
      <c r="B21" s="114"/>
      <c r="C21" s="114" t="s">
        <v>49</v>
      </c>
      <c r="D21" s="114"/>
    </row>
    <row r="22" spans="1:8" hidden="1" x14ac:dyDescent="0.6">
      <c r="A22" s="53">
        <v>1</v>
      </c>
      <c r="B22" s="53"/>
      <c r="C22" s="111" t="e">
        <f>C3+#REF!</f>
        <v>#REF!</v>
      </c>
      <c r="D22" s="111"/>
    </row>
    <row r="23" spans="1:8" hidden="1" x14ac:dyDescent="0.6">
      <c r="A23" s="53">
        <v>2</v>
      </c>
      <c r="B23" s="53"/>
      <c r="C23" s="111" t="e">
        <f>C4+#REF!</f>
        <v>#REF!</v>
      </c>
      <c r="D23" s="111"/>
    </row>
    <row r="24" spans="1:8" hidden="1" x14ac:dyDescent="0.6">
      <c r="A24" s="53">
        <v>3</v>
      </c>
      <c r="B24" s="53"/>
      <c r="C24" s="111" t="e">
        <f>C5+#REF!</f>
        <v>#REF!</v>
      </c>
      <c r="D24" s="111"/>
    </row>
    <row r="25" spans="1:8" hidden="1" x14ac:dyDescent="0.6">
      <c r="A25" s="53">
        <v>4</v>
      </c>
      <c r="B25" s="53"/>
      <c r="C25" s="111" t="e">
        <f>C6+#REF!</f>
        <v>#REF!</v>
      </c>
      <c r="D25" s="111"/>
    </row>
    <row r="26" spans="1:8" hidden="1" x14ac:dyDescent="0.6">
      <c r="A26" s="53">
        <v>5</v>
      </c>
      <c r="B26" s="53"/>
      <c r="C26" s="111" t="e">
        <f>C7+#REF!</f>
        <v>#REF!</v>
      </c>
      <c r="D26" s="111"/>
    </row>
    <row r="27" spans="1:8" hidden="1" x14ac:dyDescent="0.6">
      <c r="A27" s="53">
        <v>6</v>
      </c>
      <c r="B27" s="53"/>
      <c r="C27" s="111" t="e">
        <f>C8+#REF!</f>
        <v>#REF!</v>
      </c>
      <c r="D27" s="111"/>
    </row>
    <row r="28" spans="1:8" hidden="1" x14ac:dyDescent="0.6">
      <c r="A28" s="53">
        <v>7</v>
      </c>
      <c r="B28" s="53"/>
      <c r="C28" s="111" t="e">
        <f>C9+#REF!</f>
        <v>#REF!</v>
      </c>
      <c r="D28" s="111"/>
    </row>
    <row r="29" spans="1:8" hidden="1" x14ac:dyDescent="0.6">
      <c r="A29" s="53">
        <v>8</v>
      </c>
      <c r="B29" s="53"/>
      <c r="C29" s="111" t="e">
        <f>C10+#REF!</f>
        <v>#REF!</v>
      </c>
      <c r="D29" s="111"/>
    </row>
    <row r="30" spans="1:8" hidden="1" x14ac:dyDescent="0.6">
      <c r="A30" s="53">
        <v>9</v>
      </c>
      <c r="B30" s="53"/>
      <c r="C30" s="111" t="e">
        <f>C11+#REF!</f>
        <v>#REF!</v>
      </c>
      <c r="D30" s="111"/>
    </row>
    <row r="31" spans="1:8" hidden="1" x14ac:dyDescent="0.6">
      <c r="A31" s="53">
        <v>10</v>
      </c>
      <c r="B31" s="53"/>
      <c r="C31" s="111" t="e">
        <f>C12+#REF!</f>
        <v>#REF!</v>
      </c>
      <c r="D31" s="111"/>
    </row>
    <row r="32" spans="1:8" hidden="1" x14ac:dyDescent="0.6">
      <c r="A32" s="53">
        <v>11</v>
      </c>
      <c r="B32" s="53"/>
      <c r="C32" s="111" t="e">
        <f>#REF!+#REF!</f>
        <v>#REF!</v>
      </c>
      <c r="D32" s="111"/>
    </row>
    <row r="33" spans="1:4" hidden="1" x14ac:dyDescent="0.6">
      <c r="A33" s="53">
        <v>12</v>
      </c>
      <c r="B33" s="53"/>
      <c r="C33" s="111" t="e">
        <f>C14+#REF!</f>
        <v>#REF!</v>
      </c>
      <c r="D33" s="111"/>
    </row>
    <row r="34" spans="1:4" hidden="1" x14ac:dyDescent="0.6">
      <c r="A34" s="53">
        <v>13</v>
      </c>
      <c r="B34" s="53"/>
      <c r="C34" s="111" t="e">
        <f>C15+#REF!</f>
        <v>#REF!</v>
      </c>
      <c r="D34" s="111"/>
    </row>
    <row r="35" spans="1:4" hidden="1" x14ac:dyDescent="0.6">
      <c r="A35" s="53">
        <v>14</v>
      </c>
      <c r="B35" s="53"/>
      <c r="C35" s="111" t="e">
        <f>C16+#REF!</f>
        <v>#REF!</v>
      </c>
      <c r="D35" s="111"/>
    </row>
    <row r="36" spans="1:4" hidden="1" x14ac:dyDescent="0.6">
      <c r="A36" s="115"/>
      <c r="B36" s="115"/>
      <c r="C36" s="116" t="e">
        <f>SUM(C22:C35)</f>
        <v>#REF!</v>
      </c>
      <c r="D36" s="116"/>
    </row>
    <row r="37" spans="1:4" hidden="1" x14ac:dyDescent="0.6"/>
  </sheetData>
  <mergeCells count="7">
    <mergeCell ref="E1:E2"/>
    <mergeCell ref="G1:G2"/>
    <mergeCell ref="A20:D20"/>
    <mergeCell ref="C1:D1"/>
    <mergeCell ref="A1:A2"/>
    <mergeCell ref="B1:B2"/>
    <mergeCell ref="F1:F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2A2A-BF85-4CE5-A005-546D536F85F8}">
  <sheetPr>
    <tabColor theme="9"/>
    <pageSetUpPr fitToPage="1"/>
  </sheetPr>
  <dimension ref="A1:Q197"/>
  <sheetViews>
    <sheetView zoomScale="55" zoomScaleNormal="55" workbookViewId="0">
      <selection activeCell="D42" sqref="D42"/>
    </sheetView>
  </sheetViews>
  <sheetFormatPr defaultColWidth="11.578125" defaultRowHeight="15.6" x14ac:dyDescent="0.6"/>
  <cols>
    <col min="1" max="1" width="5.26171875" style="113" bestFit="1" customWidth="1"/>
    <col min="2" max="2" width="5.1015625" style="157" hidden="1" customWidth="1"/>
    <col min="3" max="3" width="6.26171875" style="157" bestFit="1" customWidth="1"/>
    <col min="4" max="4" width="61.20703125" style="113" bestFit="1" customWidth="1"/>
    <col min="5" max="5" width="25.41796875" style="113" hidden="1" customWidth="1"/>
    <col min="6" max="6" width="17.3671875" style="113" customWidth="1"/>
    <col min="7" max="7" width="9.47265625" style="113" customWidth="1"/>
    <col min="8" max="8" width="17" style="161" customWidth="1"/>
    <col min="9" max="9" width="15.26171875" style="161" customWidth="1"/>
    <col min="10" max="10" width="15.62890625" style="161" customWidth="1"/>
    <col min="11" max="11" width="13.68359375" style="161" customWidth="1"/>
    <col min="12" max="12" width="13.83984375" style="161" customWidth="1"/>
    <col min="13" max="13" width="74.89453125" style="162" hidden="1" customWidth="1"/>
    <col min="14" max="15" width="18.05078125" style="113" bestFit="1" customWidth="1"/>
    <col min="16" max="16" width="16.3125" style="113" bestFit="1" customWidth="1"/>
    <col min="17" max="17" width="18.05078125" style="113" bestFit="1" customWidth="1"/>
    <col min="18" max="16384" width="11.578125" style="109"/>
  </cols>
  <sheetData>
    <row r="1" spans="1:17" ht="78.900000000000006" customHeight="1" x14ac:dyDescent="0.6">
      <c r="A1" s="118" t="s">
        <v>50</v>
      </c>
      <c r="B1" s="119" t="s">
        <v>51</v>
      </c>
      <c r="C1" s="120" t="s">
        <v>52</v>
      </c>
      <c r="D1" s="119" t="s">
        <v>53</v>
      </c>
      <c r="E1" s="119" t="s">
        <v>54</v>
      </c>
      <c r="F1" s="119" t="s">
        <v>55</v>
      </c>
      <c r="G1" s="121" t="s">
        <v>56</v>
      </c>
      <c r="H1" s="121" t="s">
        <v>57</v>
      </c>
      <c r="I1" s="121" t="s">
        <v>58</v>
      </c>
      <c r="J1" s="121" t="s">
        <v>59</v>
      </c>
      <c r="K1" s="121" t="s">
        <v>60</v>
      </c>
      <c r="L1" s="121" t="s">
        <v>61</v>
      </c>
      <c r="M1" s="121" t="s">
        <v>62</v>
      </c>
      <c r="N1" s="121" t="s">
        <v>63</v>
      </c>
      <c r="O1" s="121" t="s">
        <v>64</v>
      </c>
      <c r="P1" s="121"/>
      <c r="Q1" s="121"/>
    </row>
    <row r="2" spans="1:17" s="128" customFormat="1" ht="18.3" x14ac:dyDescent="0.7">
      <c r="A2" s="119">
        <v>1</v>
      </c>
      <c r="B2" s="122">
        <v>1</v>
      </c>
      <c r="C2" s="60">
        <v>1</v>
      </c>
      <c r="D2" s="123" t="s">
        <v>65</v>
      </c>
      <c r="E2" s="60" t="s">
        <v>66</v>
      </c>
      <c r="F2" s="124" t="s">
        <v>67</v>
      </c>
      <c r="G2" s="60">
        <v>257</v>
      </c>
      <c r="H2" s="125">
        <v>2500</v>
      </c>
      <c r="I2" s="125">
        <v>2500</v>
      </c>
      <c r="J2" s="126">
        <f>I2-H2</f>
        <v>0</v>
      </c>
      <c r="K2" s="127">
        <v>135</v>
      </c>
      <c r="L2" s="127">
        <v>31.84</v>
      </c>
      <c r="M2" s="124" t="s">
        <v>68</v>
      </c>
      <c r="N2" s="117">
        <f>I2*P2/100</f>
        <v>1750000</v>
      </c>
      <c r="O2" s="117">
        <f>K2*300</f>
        <v>40500</v>
      </c>
      <c r="P2" s="117">
        <v>70000</v>
      </c>
      <c r="Q2" s="117">
        <f>N2+O2</f>
        <v>1790500</v>
      </c>
    </row>
    <row r="3" spans="1:17" s="128" customFormat="1" ht="20.05" customHeight="1" x14ac:dyDescent="0.7">
      <c r="A3" s="119">
        <v>2</v>
      </c>
      <c r="B3" s="122">
        <v>2</v>
      </c>
      <c r="C3" s="60">
        <v>1</v>
      </c>
      <c r="D3" s="123" t="s">
        <v>69</v>
      </c>
      <c r="E3" s="60" t="s">
        <v>70</v>
      </c>
      <c r="F3" s="124" t="s">
        <v>71</v>
      </c>
      <c r="G3" s="60">
        <v>259</v>
      </c>
      <c r="H3" s="129">
        <v>2400</v>
      </c>
      <c r="I3" s="127">
        <v>3200</v>
      </c>
      <c r="J3" s="126">
        <f>I3-H3</f>
        <v>800</v>
      </c>
      <c r="K3" s="127">
        <v>675</v>
      </c>
      <c r="L3" s="127">
        <v>115.49</v>
      </c>
      <c r="M3" s="124" t="s">
        <v>72</v>
      </c>
      <c r="N3" s="117">
        <f>I3*P3/100</f>
        <v>2240000</v>
      </c>
      <c r="O3" s="117">
        <f>K3*300</f>
        <v>202500</v>
      </c>
      <c r="P3" s="117">
        <v>70000</v>
      </c>
      <c r="Q3" s="117">
        <f>N3+O3</f>
        <v>2442500</v>
      </c>
    </row>
    <row r="4" spans="1:17" s="128" customFormat="1" ht="20.05" customHeight="1" x14ac:dyDescent="0.7">
      <c r="A4" s="119">
        <v>3</v>
      </c>
      <c r="B4" s="122">
        <v>4</v>
      </c>
      <c r="C4" s="60">
        <v>1</v>
      </c>
      <c r="D4" s="123" t="s">
        <v>73</v>
      </c>
      <c r="E4" s="60" t="s">
        <v>74</v>
      </c>
      <c r="F4" s="124" t="s">
        <v>67</v>
      </c>
      <c r="G4" s="60">
        <v>261</v>
      </c>
      <c r="H4" s="129">
        <v>1390</v>
      </c>
      <c r="I4" s="127">
        <v>1390</v>
      </c>
      <c r="J4" s="126">
        <f>I4-H4</f>
        <v>0</v>
      </c>
      <c r="K4" s="127">
        <v>588</v>
      </c>
      <c r="L4" s="127">
        <v>231.64</v>
      </c>
      <c r="M4" s="124" t="s">
        <v>75</v>
      </c>
      <c r="N4" s="117">
        <f>I4*P4/100</f>
        <v>973000</v>
      </c>
      <c r="O4" s="117">
        <f>K4*300</f>
        <v>176400</v>
      </c>
      <c r="P4" s="117">
        <v>70000</v>
      </c>
      <c r="Q4" s="117">
        <f>N4+O4</f>
        <v>1149400</v>
      </c>
    </row>
    <row r="5" spans="1:17" s="128" customFormat="1" ht="20.05" customHeight="1" x14ac:dyDescent="0.7">
      <c r="A5" s="119">
        <v>4</v>
      </c>
      <c r="B5" s="122">
        <v>5</v>
      </c>
      <c r="C5" s="60">
        <v>1</v>
      </c>
      <c r="D5" s="123" t="s">
        <v>76</v>
      </c>
      <c r="E5" s="60" t="s">
        <v>77</v>
      </c>
      <c r="F5" s="124" t="s">
        <v>67</v>
      </c>
      <c r="G5" s="60">
        <v>263</v>
      </c>
      <c r="H5" s="129">
        <v>4900</v>
      </c>
      <c r="I5" s="127">
        <v>5098</v>
      </c>
      <c r="J5" s="126">
        <f>I5-H5</f>
        <v>198</v>
      </c>
      <c r="K5" s="127">
        <v>311</v>
      </c>
      <c r="L5" s="127">
        <v>257.26</v>
      </c>
      <c r="M5" s="124" t="s">
        <v>78</v>
      </c>
      <c r="N5" s="117">
        <f>I5*P5/100</f>
        <v>2549000</v>
      </c>
      <c r="O5" s="117">
        <f>K5*300</f>
        <v>93300</v>
      </c>
      <c r="P5" s="117">
        <v>50000</v>
      </c>
      <c r="Q5" s="117">
        <f>N5+O5</f>
        <v>2642300</v>
      </c>
    </row>
    <row r="6" spans="1:17" s="128" customFormat="1" ht="20.05" customHeight="1" x14ac:dyDescent="0.55000000000000004">
      <c r="A6" s="130"/>
      <c r="B6" s="131"/>
      <c r="C6" s="130"/>
      <c r="D6" s="132"/>
      <c r="E6" s="130"/>
      <c r="F6" s="133"/>
      <c r="G6" s="130"/>
      <c r="H6" s="134">
        <f>SUM(H2:H5)</f>
        <v>11190</v>
      </c>
      <c r="I6" s="134">
        <f t="shared" ref="I6:Q6" si="0">SUM(I2:I5)</f>
        <v>12188</v>
      </c>
      <c r="J6" s="134">
        <f t="shared" si="0"/>
        <v>998</v>
      </c>
      <c r="K6" s="134">
        <f t="shared" si="0"/>
        <v>1709</v>
      </c>
      <c r="L6" s="134">
        <f t="shared" si="0"/>
        <v>636.23</v>
      </c>
      <c r="M6" s="134">
        <f t="shared" si="0"/>
        <v>0</v>
      </c>
      <c r="N6" s="134">
        <f t="shared" si="0"/>
        <v>7512000</v>
      </c>
      <c r="O6" s="134">
        <f t="shared" si="0"/>
        <v>512700</v>
      </c>
      <c r="P6" s="134">
        <f t="shared" si="0"/>
        <v>260000</v>
      </c>
      <c r="Q6" s="134">
        <f t="shared" si="0"/>
        <v>8024700</v>
      </c>
    </row>
    <row r="7" spans="1:17" s="128" customFormat="1" ht="20.05" customHeight="1" x14ac:dyDescent="0.7">
      <c r="A7" s="119">
        <v>5</v>
      </c>
      <c r="B7" s="122">
        <v>8</v>
      </c>
      <c r="C7" s="60">
        <v>2</v>
      </c>
      <c r="D7" s="123" t="s">
        <v>79</v>
      </c>
      <c r="E7" s="60" t="s">
        <v>80</v>
      </c>
      <c r="F7" s="124" t="s">
        <v>67</v>
      </c>
      <c r="G7" s="60">
        <v>275</v>
      </c>
      <c r="H7" s="129">
        <v>636</v>
      </c>
      <c r="I7" s="129">
        <v>636</v>
      </c>
      <c r="J7" s="126">
        <f t="shared" ref="J7:J19" si="1">I7-H7</f>
        <v>0</v>
      </c>
      <c r="K7" s="127">
        <v>413</v>
      </c>
      <c r="L7" s="127">
        <v>105.19</v>
      </c>
      <c r="M7" s="124" t="s">
        <v>81</v>
      </c>
      <c r="N7" s="117">
        <f t="shared" ref="N7:N19" si="2">I7*P7/100</f>
        <v>318000</v>
      </c>
      <c r="O7" s="117">
        <f t="shared" ref="O7:O19" si="3">K7*300</f>
        <v>123900</v>
      </c>
      <c r="P7" s="117">
        <v>50000</v>
      </c>
      <c r="Q7" s="117">
        <f t="shared" ref="Q7:Q19" si="4">N7+O7</f>
        <v>441900</v>
      </c>
    </row>
    <row r="8" spans="1:17" s="128" customFormat="1" ht="20.05" customHeight="1" x14ac:dyDescent="0.7">
      <c r="A8" s="119">
        <v>6</v>
      </c>
      <c r="B8" s="122">
        <v>9</v>
      </c>
      <c r="C8" s="60">
        <v>2</v>
      </c>
      <c r="D8" s="123" t="s">
        <v>82</v>
      </c>
      <c r="E8" s="60" t="s">
        <v>83</v>
      </c>
      <c r="F8" s="124" t="s">
        <v>67</v>
      </c>
      <c r="G8" s="60" t="s">
        <v>84</v>
      </c>
      <c r="H8" s="129">
        <v>398</v>
      </c>
      <c r="I8" s="129">
        <v>398</v>
      </c>
      <c r="J8" s="126">
        <f t="shared" si="1"/>
        <v>0</v>
      </c>
      <c r="K8" s="127">
        <v>134</v>
      </c>
      <c r="L8" s="127">
        <v>66.010000000000005</v>
      </c>
      <c r="M8" s="124" t="s">
        <v>85</v>
      </c>
      <c r="N8" s="117">
        <f t="shared" si="2"/>
        <v>199000</v>
      </c>
      <c r="O8" s="117">
        <f t="shared" si="3"/>
        <v>40200</v>
      </c>
      <c r="P8" s="117">
        <v>50000</v>
      </c>
      <c r="Q8" s="117">
        <f t="shared" si="4"/>
        <v>239200</v>
      </c>
    </row>
    <row r="9" spans="1:17" s="128" customFormat="1" ht="20.05" customHeight="1" x14ac:dyDescent="0.7">
      <c r="A9" s="119">
        <v>7</v>
      </c>
      <c r="B9" s="122">
        <v>10</v>
      </c>
      <c r="C9" s="60">
        <v>2</v>
      </c>
      <c r="D9" s="123" t="s">
        <v>86</v>
      </c>
      <c r="E9" s="60" t="s">
        <v>87</v>
      </c>
      <c r="F9" s="124" t="s">
        <v>67</v>
      </c>
      <c r="G9" s="60" t="s">
        <v>88</v>
      </c>
      <c r="H9" s="129">
        <v>300</v>
      </c>
      <c r="I9" s="129">
        <v>300</v>
      </c>
      <c r="J9" s="126">
        <f t="shared" si="1"/>
        <v>0</v>
      </c>
      <c r="K9" s="127">
        <v>117</v>
      </c>
      <c r="L9" s="127">
        <v>52.72</v>
      </c>
      <c r="M9" s="124" t="s">
        <v>89</v>
      </c>
      <c r="N9" s="117">
        <f t="shared" si="2"/>
        <v>150000</v>
      </c>
      <c r="O9" s="117">
        <f t="shared" si="3"/>
        <v>35100</v>
      </c>
      <c r="P9" s="117">
        <v>50000</v>
      </c>
      <c r="Q9" s="117">
        <f t="shared" si="4"/>
        <v>185100</v>
      </c>
    </row>
    <row r="10" spans="1:17" s="128" customFormat="1" ht="20.05" customHeight="1" x14ac:dyDescent="0.7">
      <c r="A10" s="119">
        <v>8</v>
      </c>
      <c r="B10" s="122">
        <v>11</v>
      </c>
      <c r="C10" s="60">
        <v>2</v>
      </c>
      <c r="D10" s="123" t="s">
        <v>90</v>
      </c>
      <c r="E10" s="60" t="s">
        <v>91</v>
      </c>
      <c r="F10" s="124" t="s">
        <v>67</v>
      </c>
      <c r="G10" s="60" t="s">
        <v>92</v>
      </c>
      <c r="H10" s="129">
        <v>391</v>
      </c>
      <c r="I10" s="129">
        <v>391</v>
      </c>
      <c r="J10" s="126">
        <f t="shared" si="1"/>
        <v>0</v>
      </c>
      <c r="K10" s="127">
        <v>233</v>
      </c>
      <c r="L10" s="127">
        <v>89.46</v>
      </c>
      <c r="M10" s="124" t="s">
        <v>93</v>
      </c>
      <c r="N10" s="117">
        <f t="shared" si="2"/>
        <v>195500</v>
      </c>
      <c r="O10" s="117">
        <f t="shared" si="3"/>
        <v>69900</v>
      </c>
      <c r="P10" s="117">
        <v>50000</v>
      </c>
      <c r="Q10" s="117">
        <f t="shared" si="4"/>
        <v>265400</v>
      </c>
    </row>
    <row r="11" spans="1:17" s="128" customFormat="1" ht="20.05" customHeight="1" x14ac:dyDescent="0.7">
      <c r="A11" s="119">
        <v>9</v>
      </c>
      <c r="B11" s="122">
        <v>12</v>
      </c>
      <c r="C11" s="60">
        <v>2</v>
      </c>
      <c r="D11" s="123" t="s">
        <v>94</v>
      </c>
      <c r="E11" s="60" t="s">
        <v>95</v>
      </c>
      <c r="F11" s="124" t="s">
        <v>67</v>
      </c>
      <c r="G11" s="60" t="s">
        <v>96</v>
      </c>
      <c r="H11" s="129">
        <v>845</v>
      </c>
      <c r="I11" s="129">
        <v>845</v>
      </c>
      <c r="J11" s="126">
        <f t="shared" si="1"/>
        <v>0</v>
      </c>
      <c r="K11" s="127">
        <v>276</v>
      </c>
      <c r="L11" s="127">
        <v>80.59</v>
      </c>
      <c r="M11" s="124" t="s">
        <v>89</v>
      </c>
      <c r="N11" s="117">
        <f t="shared" si="2"/>
        <v>422500</v>
      </c>
      <c r="O11" s="117">
        <f t="shared" si="3"/>
        <v>82800</v>
      </c>
      <c r="P11" s="117">
        <v>50000</v>
      </c>
      <c r="Q11" s="117">
        <f t="shared" si="4"/>
        <v>505300</v>
      </c>
    </row>
    <row r="12" spans="1:17" s="128" customFormat="1" ht="20.05" customHeight="1" x14ac:dyDescent="0.7">
      <c r="A12" s="119">
        <v>10</v>
      </c>
      <c r="B12" s="122">
        <v>13</v>
      </c>
      <c r="C12" s="60">
        <v>2</v>
      </c>
      <c r="D12" s="123" t="s">
        <v>97</v>
      </c>
      <c r="E12" s="60" t="s">
        <v>98</v>
      </c>
      <c r="F12" s="124" t="s">
        <v>67</v>
      </c>
      <c r="G12" s="60" t="s">
        <v>99</v>
      </c>
      <c r="H12" s="129">
        <v>600</v>
      </c>
      <c r="I12" s="127">
        <v>659</v>
      </c>
      <c r="J12" s="126">
        <f t="shared" si="1"/>
        <v>59</v>
      </c>
      <c r="K12" s="127">
        <v>22</v>
      </c>
      <c r="L12" s="127">
        <v>16.239999999999998</v>
      </c>
      <c r="M12" s="124" t="s">
        <v>100</v>
      </c>
      <c r="N12" s="117">
        <f t="shared" si="2"/>
        <v>329500</v>
      </c>
      <c r="O12" s="117">
        <f t="shared" si="3"/>
        <v>6600</v>
      </c>
      <c r="P12" s="117">
        <v>50000</v>
      </c>
      <c r="Q12" s="117">
        <f t="shared" si="4"/>
        <v>336100</v>
      </c>
    </row>
    <row r="13" spans="1:17" s="128" customFormat="1" ht="20.05" customHeight="1" x14ac:dyDescent="0.7">
      <c r="A13" s="119">
        <v>11</v>
      </c>
      <c r="B13" s="122">
        <v>14</v>
      </c>
      <c r="C13" s="60">
        <v>2</v>
      </c>
      <c r="D13" s="123" t="s">
        <v>101</v>
      </c>
      <c r="E13" s="60" t="s">
        <v>102</v>
      </c>
      <c r="F13" s="124" t="s">
        <v>67</v>
      </c>
      <c r="G13" s="60">
        <v>277</v>
      </c>
      <c r="H13" s="129">
        <v>754</v>
      </c>
      <c r="I13" s="127">
        <v>779</v>
      </c>
      <c r="J13" s="126">
        <f t="shared" si="1"/>
        <v>25</v>
      </c>
      <c r="K13" s="127">
        <v>470</v>
      </c>
      <c r="L13" s="127">
        <v>217.57</v>
      </c>
      <c r="M13" s="124" t="s">
        <v>103</v>
      </c>
      <c r="N13" s="117">
        <f t="shared" si="2"/>
        <v>623200</v>
      </c>
      <c r="O13" s="117">
        <f t="shared" si="3"/>
        <v>141000</v>
      </c>
      <c r="P13" s="117">
        <v>80000</v>
      </c>
      <c r="Q13" s="117">
        <f t="shared" si="4"/>
        <v>764200</v>
      </c>
    </row>
    <row r="14" spans="1:17" s="128" customFormat="1" ht="20.05" customHeight="1" x14ac:dyDescent="0.7">
      <c r="A14" s="119">
        <v>12</v>
      </c>
      <c r="B14" s="122">
        <v>15</v>
      </c>
      <c r="C14" s="60">
        <v>2</v>
      </c>
      <c r="D14" s="123" t="s">
        <v>104</v>
      </c>
      <c r="E14" s="60" t="s">
        <v>105</v>
      </c>
      <c r="F14" s="124" t="s">
        <v>67</v>
      </c>
      <c r="G14" s="60" t="s">
        <v>106</v>
      </c>
      <c r="H14" s="129">
        <v>535</v>
      </c>
      <c r="I14" s="129">
        <v>535</v>
      </c>
      <c r="J14" s="126">
        <f t="shared" si="1"/>
        <v>0</v>
      </c>
      <c r="K14" s="127">
        <v>222</v>
      </c>
      <c r="L14" s="127">
        <v>85.84</v>
      </c>
      <c r="M14" s="124" t="s">
        <v>107</v>
      </c>
      <c r="N14" s="117">
        <f t="shared" si="2"/>
        <v>428000</v>
      </c>
      <c r="O14" s="117">
        <f t="shared" si="3"/>
        <v>66600</v>
      </c>
      <c r="P14" s="117">
        <v>80000</v>
      </c>
      <c r="Q14" s="117">
        <f t="shared" si="4"/>
        <v>494600</v>
      </c>
    </row>
    <row r="15" spans="1:17" s="128" customFormat="1" ht="20.05" customHeight="1" x14ac:dyDescent="0.7">
      <c r="A15" s="119">
        <v>13</v>
      </c>
      <c r="B15" s="122">
        <v>16</v>
      </c>
      <c r="C15" s="60">
        <v>2</v>
      </c>
      <c r="D15" s="123" t="s">
        <v>108</v>
      </c>
      <c r="E15" s="60" t="s">
        <v>109</v>
      </c>
      <c r="F15" s="124" t="s">
        <v>67</v>
      </c>
      <c r="G15" s="60">
        <v>281</v>
      </c>
      <c r="H15" s="129">
        <v>1093</v>
      </c>
      <c r="I15" s="129">
        <v>1093</v>
      </c>
      <c r="J15" s="126">
        <f t="shared" si="1"/>
        <v>0</v>
      </c>
      <c r="K15" s="127">
        <v>460</v>
      </c>
      <c r="L15" s="127">
        <v>182.68</v>
      </c>
      <c r="M15" s="124" t="s">
        <v>110</v>
      </c>
      <c r="N15" s="117">
        <f t="shared" si="2"/>
        <v>546500</v>
      </c>
      <c r="O15" s="117">
        <f t="shared" si="3"/>
        <v>138000</v>
      </c>
      <c r="P15" s="117">
        <v>50000</v>
      </c>
      <c r="Q15" s="117">
        <f t="shared" si="4"/>
        <v>684500</v>
      </c>
    </row>
    <row r="16" spans="1:17" s="128" customFormat="1" ht="20.05" customHeight="1" x14ac:dyDescent="0.7">
      <c r="A16" s="119">
        <v>14</v>
      </c>
      <c r="B16" s="122">
        <v>17</v>
      </c>
      <c r="C16" s="60">
        <v>2</v>
      </c>
      <c r="D16" s="123" t="s">
        <v>111</v>
      </c>
      <c r="E16" s="60" t="s">
        <v>112</v>
      </c>
      <c r="F16" s="124" t="s">
        <v>67</v>
      </c>
      <c r="G16" s="60">
        <v>279</v>
      </c>
      <c r="H16" s="129">
        <v>1265</v>
      </c>
      <c r="I16" s="127">
        <v>2509</v>
      </c>
      <c r="J16" s="126">
        <f t="shared" si="1"/>
        <v>1244</v>
      </c>
      <c r="K16" s="127">
        <v>653</v>
      </c>
      <c r="L16" s="127">
        <v>68.489999999999995</v>
      </c>
      <c r="M16" s="124" t="s">
        <v>113</v>
      </c>
      <c r="N16" s="117">
        <f t="shared" si="2"/>
        <v>1630850</v>
      </c>
      <c r="O16" s="117">
        <f t="shared" si="3"/>
        <v>195900</v>
      </c>
      <c r="P16" s="117">
        <v>65000</v>
      </c>
      <c r="Q16" s="117">
        <f t="shared" si="4"/>
        <v>1826750</v>
      </c>
    </row>
    <row r="17" spans="1:17" s="128" customFormat="1" ht="20.05" customHeight="1" x14ac:dyDescent="0.7">
      <c r="A17" s="119">
        <v>15</v>
      </c>
      <c r="B17" s="122">
        <v>18</v>
      </c>
      <c r="C17" s="60">
        <v>2</v>
      </c>
      <c r="D17" s="123" t="s">
        <v>114</v>
      </c>
      <c r="E17" s="60" t="s">
        <v>115</v>
      </c>
      <c r="F17" s="124" t="s">
        <v>67</v>
      </c>
      <c r="G17" s="60" t="s">
        <v>116</v>
      </c>
      <c r="H17" s="129">
        <v>600</v>
      </c>
      <c r="I17" s="129">
        <v>600</v>
      </c>
      <c r="J17" s="126">
        <f t="shared" si="1"/>
        <v>0</v>
      </c>
      <c r="K17" s="127">
        <v>167</v>
      </c>
      <c r="L17" s="127">
        <v>30.53</v>
      </c>
      <c r="M17" s="124" t="s">
        <v>117</v>
      </c>
      <c r="N17" s="117">
        <f t="shared" si="2"/>
        <v>480000</v>
      </c>
      <c r="O17" s="117">
        <f t="shared" si="3"/>
        <v>50100</v>
      </c>
      <c r="P17" s="117">
        <v>80000</v>
      </c>
      <c r="Q17" s="117">
        <f t="shared" si="4"/>
        <v>530100</v>
      </c>
    </row>
    <row r="18" spans="1:17" s="128" customFormat="1" ht="20.05" customHeight="1" x14ac:dyDescent="0.7">
      <c r="A18" s="119">
        <v>16</v>
      </c>
      <c r="B18" s="122">
        <v>19</v>
      </c>
      <c r="C18" s="60">
        <v>2</v>
      </c>
      <c r="D18" s="123" t="s">
        <v>118</v>
      </c>
      <c r="E18" s="60" t="s">
        <v>119</v>
      </c>
      <c r="F18" s="124" t="s">
        <v>67</v>
      </c>
      <c r="G18" s="60">
        <v>283</v>
      </c>
      <c r="H18" s="129">
        <v>2114</v>
      </c>
      <c r="I18" s="129">
        <v>2114</v>
      </c>
      <c r="J18" s="126">
        <f t="shared" si="1"/>
        <v>0</v>
      </c>
      <c r="K18" s="127">
        <v>556</v>
      </c>
      <c r="L18" s="127">
        <v>233.3</v>
      </c>
      <c r="M18" s="124" t="s">
        <v>120</v>
      </c>
      <c r="N18" s="117">
        <f t="shared" si="2"/>
        <v>1057000</v>
      </c>
      <c r="O18" s="117">
        <f t="shared" si="3"/>
        <v>166800</v>
      </c>
      <c r="P18" s="117">
        <v>50000</v>
      </c>
      <c r="Q18" s="117">
        <f t="shared" si="4"/>
        <v>1223800</v>
      </c>
    </row>
    <row r="19" spans="1:17" s="128" customFormat="1" ht="20.05" customHeight="1" x14ac:dyDescent="0.7">
      <c r="A19" s="119">
        <v>17</v>
      </c>
      <c r="B19" s="122">
        <v>26</v>
      </c>
      <c r="C19" s="60">
        <v>2</v>
      </c>
      <c r="D19" s="123" t="s">
        <v>121</v>
      </c>
      <c r="E19" s="60" t="s">
        <v>122</v>
      </c>
      <c r="F19" s="124" t="s">
        <v>123</v>
      </c>
      <c r="G19" s="60">
        <v>244</v>
      </c>
      <c r="H19" s="129">
        <v>1010</v>
      </c>
      <c r="I19" s="129">
        <v>1010</v>
      </c>
      <c r="J19" s="126">
        <f t="shared" si="1"/>
        <v>0</v>
      </c>
      <c r="K19" s="127">
        <v>228</v>
      </c>
      <c r="L19" s="127">
        <v>76.5</v>
      </c>
      <c r="M19" s="124" t="s">
        <v>124</v>
      </c>
      <c r="N19" s="117">
        <f t="shared" si="2"/>
        <v>505000</v>
      </c>
      <c r="O19" s="117">
        <f t="shared" si="3"/>
        <v>68400</v>
      </c>
      <c r="P19" s="117">
        <v>50000</v>
      </c>
      <c r="Q19" s="117">
        <f t="shared" si="4"/>
        <v>573400</v>
      </c>
    </row>
    <row r="20" spans="1:17" s="128" customFormat="1" ht="20.05" customHeight="1" x14ac:dyDescent="0.55000000000000004">
      <c r="A20" s="130"/>
      <c r="B20" s="131"/>
      <c r="C20" s="130"/>
      <c r="D20" s="132"/>
      <c r="E20" s="130"/>
      <c r="F20" s="133"/>
      <c r="G20" s="130"/>
      <c r="H20" s="134">
        <f>SUM(H7:H19)</f>
        <v>10541</v>
      </c>
      <c r="I20" s="134">
        <f t="shared" ref="I20:Q20" si="5">SUM(I7:I19)</f>
        <v>11869</v>
      </c>
      <c r="J20" s="134">
        <f t="shared" si="5"/>
        <v>1328</v>
      </c>
      <c r="K20" s="134">
        <f t="shared" si="5"/>
        <v>3951</v>
      </c>
      <c r="L20" s="134">
        <f t="shared" si="5"/>
        <v>1305.1199999999999</v>
      </c>
      <c r="M20" s="134">
        <f t="shared" si="5"/>
        <v>0</v>
      </c>
      <c r="N20" s="134">
        <f t="shared" si="5"/>
        <v>6885050</v>
      </c>
      <c r="O20" s="134">
        <f t="shared" si="5"/>
        <v>1185300</v>
      </c>
      <c r="P20" s="134">
        <f t="shared" si="5"/>
        <v>755000</v>
      </c>
      <c r="Q20" s="134">
        <f t="shared" si="5"/>
        <v>8070350</v>
      </c>
    </row>
    <row r="21" spans="1:17" s="128" customFormat="1" ht="20.05" customHeight="1" x14ac:dyDescent="0.7">
      <c r="A21" s="119">
        <v>18</v>
      </c>
      <c r="B21" s="122"/>
      <c r="C21" s="60">
        <v>3</v>
      </c>
      <c r="D21" s="123" t="s">
        <v>125</v>
      </c>
      <c r="E21" s="60" t="s">
        <v>126</v>
      </c>
      <c r="F21" s="124" t="s">
        <v>127</v>
      </c>
      <c r="G21" s="60">
        <v>180</v>
      </c>
      <c r="H21" s="129">
        <v>1020</v>
      </c>
      <c r="I21" s="129">
        <v>1020</v>
      </c>
      <c r="J21" s="126"/>
      <c r="K21" s="127">
        <v>390</v>
      </c>
      <c r="L21" s="127"/>
      <c r="M21" s="124"/>
      <c r="N21" s="117">
        <f>I21*P21/100</f>
        <v>510000</v>
      </c>
      <c r="O21" s="117">
        <f>K21*300</f>
        <v>117000</v>
      </c>
      <c r="P21" s="117">
        <v>50000</v>
      </c>
      <c r="Q21" s="117">
        <f>N21+O21</f>
        <v>627000</v>
      </c>
    </row>
    <row r="22" spans="1:17" s="128" customFormat="1" ht="20.05" customHeight="1" x14ac:dyDescent="0.7">
      <c r="A22" s="119">
        <v>19</v>
      </c>
      <c r="B22" s="122"/>
      <c r="C22" s="60">
        <v>3</v>
      </c>
      <c r="D22" s="123" t="s">
        <v>128</v>
      </c>
      <c r="E22" s="60" t="s">
        <v>129</v>
      </c>
      <c r="F22" s="124" t="s">
        <v>127</v>
      </c>
      <c r="G22" s="60" t="s">
        <v>130</v>
      </c>
      <c r="H22" s="129"/>
      <c r="I22" s="129"/>
      <c r="J22" s="126"/>
      <c r="K22" s="127">
        <v>236</v>
      </c>
      <c r="L22" s="127"/>
      <c r="M22" s="124"/>
      <c r="N22" s="117">
        <f>I22*P22/100</f>
        <v>0</v>
      </c>
      <c r="O22" s="117">
        <f>K22*300</f>
        <v>70800</v>
      </c>
      <c r="P22" s="117">
        <v>50000</v>
      </c>
      <c r="Q22" s="117">
        <f>N22+O22</f>
        <v>70800</v>
      </c>
    </row>
    <row r="23" spans="1:17" s="128" customFormat="1" ht="20.05" customHeight="1" x14ac:dyDescent="0.55000000000000004">
      <c r="A23" s="130"/>
      <c r="B23" s="131"/>
      <c r="C23" s="135"/>
      <c r="D23" s="132"/>
      <c r="E23" s="130"/>
      <c r="F23" s="133"/>
      <c r="G23" s="130"/>
      <c r="H23" s="134">
        <f>SUM(H21:H22)</f>
        <v>1020</v>
      </c>
      <c r="I23" s="134">
        <f t="shared" ref="I23:Q23" si="6">SUM(I21:I22)</f>
        <v>1020</v>
      </c>
      <c r="J23" s="134">
        <f t="shared" si="6"/>
        <v>0</v>
      </c>
      <c r="K23" s="134">
        <f t="shared" si="6"/>
        <v>626</v>
      </c>
      <c r="L23" s="134">
        <f t="shared" si="6"/>
        <v>0</v>
      </c>
      <c r="M23" s="134">
        <f t="shared" si="6"/>
        <v>0</v>
      </c>
      <c r="N23" s="134">
        <f t="shared" si="6"/>
        <v>510000</v>
      </c>
      <c r="O23" s="134">
        <f t="shared" si="6"/>
        <v>187800</v>
      </c>
      <c r="P23" s="134">
        <f t="shared" si="6"/>
        <v>100000</v>
      </c>
      <c r="Q23" s="134">
        <f t="shared" si="6"/>
        <v>697800</v>
      </c>
    </row>
    <row r="24" spans="1:17" s="128" customFormat="1" ht="19.8" customHeight="1" x14ac:dyDescent="0.7">
      <c r="A24" s="119">
        <v>20</v>
      </c>
      <c r="B24" s="136">
        <v>68</v>
      </c>
      <c r="C24" s="137">
        <v>8</v>
      </c>
      <c r="D24" s="124" t="s">
        <v>131</v>
      </c>
      <c r="E24" s="124" t="s">
        <v>132</v>
      </c>
      <c r="F24" s="124" t="s">
        <v>133</v>
      </c>
      <c r="G24" s="60">
        <v>97</v>
      </c>
      <c r="H24" s="125">
        <v>734</v>
      </c>
      <c r="I24" s="125">
        <v>734</v>
      </c>
      <c r="J24" s="126">
        <f>I24-H24</f>
        <v>0</v>
      </c>
      <c r="K24" s="127">
        <v>378</v>
      </c>
      <c r="L24" s="127">
        <v>121.55</v>
      </c>
      <c r="M24" s="138" t="s">
        <v>134</v>
      </c>
      <c r="N24" s="117">
        <f>I24*P24/100</f>
        <v>367000</v>
      </c>
      <c r="O24" s="117">
        <f>K24*300</f>
        <v>113400</v>
      </c>
      <c r="P24" s="117">
        <v>50000</v>
      </c>
      <c r="Q24" s="117">
        <f>N24+O24</f>
        <v>480400</v>
      </c>
    </row>
    <row r="25" spans="1:17" s="128" customFormat="1" ht="20.05" customHeight="1" x14ac:dyDescent="0.7">
      <c r="A25" s="119">
        <v>21</v>
      </c>
      <c r="B25" s="136">
        <v>69</v>
      </c>
      <c r="C25" s="60">
        <v>8</v>
      </c>
      <c r="D25" s="124" t="s">
        <v>135</v>
      </c>
      <c r="E25" s="124" t="s">
        <v>136</v>
      </c>
      <c r="F25" s="124" t="s">
        <v>137</v>
      </c>
      <c r="G25" s="60">
        <v>121</v>
      </c>
      <c r="H25" s="125">
        <v>520</v>
      </c>
      <c r="I25" s="125">
        <v>520</v>
      </c>
      <c r="J25" s="126">
        <f>I25-H25</f>
        <v>0</v>
      </c>
      <c r="K25" s="127">
        <v>305</v>
      </c>
      <c r="L25" s="127">
        <v>132.96</v>
      </c>
      <c r="M25" s="138" t="s">
        <v>138</v>
      </c>
      <c r="N25" s="117">
        <f>I25*P25/100</f>
        <v>260000</v>
      </c>
      <c r="O25" s="117">
        <f>K25*300</f>
        <v>91500</v>
      </c>
      <c r="P25" s="117">
        <v>50000</v>
      </c>
      <c r="Q25" s="117">
        <f>N25+O25</f>
        <v>351500</v>
      </c>
    </row>
    <row r="26" spans="1:17" s="128" customFormat="1" ht="20.05" customHeight="1" x14ac:dyDescent="0.7">
      <c r="A26" s="119">
        <v>22</v>
      </c>
      <c r="B26" s="136">
        <v>70</v>
      </c>
      <c r="C26" s="60">
        <v>8</v>
      </c>
      <c r="D26" s="124" t="s">
        <v>139</v>
      </c>
      <c r="E26" s="124" t="s">
        <v>140</v>
      </c>
      <c r="F26" s="124" t="s">
        <v>137</v>
      </c>
      <c r="G26" s="60" t="s">
        <v>141</v>
      </c>
      <c r="H26" s="125">
        <v>380</v>
      </c>
      <c r="I26" s="125">
        <v>380</v>
      </c>
      <c r="J26" s="126">
        <f>I26-H26</f>
        <v>0</v>
      </c>
      <c r="K26" s="127">
        <v>240</v>
      </c>
      <c r="L26" s="127">
        <v>110.6</v>
      </c>
      <c r="M26" s="138" t="s">
        <v>142</v>
      </c>
      <c r="N26" s="117">
        <f>I26*P26/100</f>
        <v>190000</v>
      </c>
      <c r="O26" s="117">
        <f>K26*300</f>
        <v>72000</v>
      </c>
      <c r="P26" s="117">
        <v>50000</v>
      </c>
      <c r="Q26" s="117">
        <f>N26+O26</f>
        <v>262000</v>
      </c>
    </row>
    <row r="27" spans="1:17" ht="20.05" customHeight="1" x14ac:dyDescent="0.7">
      <c r="A27" s="119">
        <v>23</v>
      </c>
      <c r="B27" s="136">
        <v>71</v>
      </c>
      <c r="C27" s="60">
        <v>8</v>
      </c>
      <c r="D27" s="124" t="s">
        <v>143</v>
      </c>
      <c r="E27" s="124" t="s">
        <v>144</v>
      </c>
      <c r="F27" s="124" t="s">
        <v>137</v>
      </c>
      <c r="G27" s="60">
        <v>40</v>
      </c>
      <c r="H27" s="125">
        <v>500</v>
      </c>
      <c r="I27" s="125">
        <v>500</v>
      </c>
      <c r="J27" s="126">
        <f>I27-H27</f>
        <v>0</v>
      </c>
      <c r="K27" s="127">
        <v>333</v>
      </c>
      <c r="L27" s="127">
        <v>255.79</v>
      </c>
      <c r="M27" s="138" t="s">
        <v>145</v>
      </c>
      <c r="N27" s="117">
        <f>I27*P27/100</f>
        <v>250000</v>
      </c>
      <c r="O27" s="117">
        <f>K27*300</f>
        <v>99900</v>
      </c>
      <c r="P27" s="117">
        <v>50000</v>
      </c>
      <c r="Q27" s="117">
        <f>N27+O27</f>
        <v>349900</v>
      </c>
    </row>
    <row r="28" spans="1:17" ht="20.05" customHeight="1" x14ac:dyDescent="0.7">
      <c r="A28" s="119">
        <v>24</v>
      </c>
      <c r="B28" s="139">
        <v>73</v>
      </c>
      <c r="C28" s="60">
        <v>8</v>
      </c>
      <c r="D28" s="124" t="s">
        <v>146</v>
      </c>
      <c r="E28" s="124" t="s">
        <v>147</v>
      </c>
      <c r="F28" s="124" t="s">
        <v>67</v>
      </c>
      <c r="G28" s="60">
        <v>63</v>
      </c>
      <c r="H28" s="125">
        <v>286</v>
      </c>
      <c r="I28" s="125">
        <v>286</v>
      </c>
      <c r="J28" s="126">
        <f>I28-H28</f>
        <v>0</v>
      </c>
      <c r="K28" s="127">
        <v>141</v>
      </c>
      <c r="L28" s="127">
        <v>93.53</v>
      </c>
      <c r="M28" s="138" t="s">
        <v>148</v>
      </c>
      <c r="N28" s="117">
        <f>I28*P28/100</f>
        <v>143000</v>
      </c>
      <c r="O28" s="117">
        <f>K28*300</f>
        <v>42300</v>
      </c>
      <c r="P28" s="117">
        <v>50000</v>
      </c>
      <c r="Q28" s="117">
        <f>N28+O28</f>
        <v>185300</v>
      </c>
    </row>
    <row r="29" spans="1:17" ht="20.05" customHeight="1" x14ac:dyDescent="0.6">
      <c r="A29" s="130"/>
      <c r="B29" s="130"/>
      <c r="C29" s="130"/>
      <c r="D29" s="133"/>
      <c r="E29" s="133"/>
      <c r="F29" s="133"/>
      <c r="G29" s="130"/>
      <c r="H29" s="140">
        <f>SUM(H24:H28)</f>
        <v>2420</v>
      </c>
      <c r="I29" s="140">
        <f t="shared" ref="I29:Q29" si="7">SUM(I24:I28)</f>
        <v>2420</v>
      </c>
      <c r="J29" s="140">
        <f t="shared" si="7"/>
        <v>0</v>
      </c>
      <c r="K29" s="140">
        <f t="shared" si="7"/>
        <v>1397</v>
      </c>
      <c r="L29" s="140">
        <f t="shared" si="7"/>
        <v>714.43</v>
      </c>
      <c r="M29" s="140">
        <f t="shared" si="7"/>
        <v>0</v>
      </c>
      <c r="N29" s="140">
        <f t="shared" si="7"/>
        <v>1210000</v>
      </c>
      <c r="O29" s="140">
        <f t="shared" si="7"/>
        <v>419100</v>
      </c>
      <c r="P29" s="140">
        <f t="shared" si="7"/>
        <v>250000</v>
      </c>
      <c r="Q29" s="140">
        <f t="shared" si="7"/>
        <v>1629100</v>
      </c>
    </row>
    <row r="30" spans="1:17" s="141" customFormat="1" ht="20.05" customHeight="1" x14ac:dyDescent="0.7">
      <c r="A30" s="119">
        <v>25</v>
      </c>
      <c r="B30" s="136">
        <v>5</v>
      </c>
      <c r="C30" s="60">
        <v>9</v>
      </c>
      <c r="D30" s="124" t="s">
        <v>149</v>
      </c>
      <c r="E30" s="124" t="s">
        <v>150</v>
      </c>
      <c r="F30" s="124" t="s">
        <v>67</v>
      </c>
      <c r="G30" s="60">
        <v>67</v>
      </c>
      <c r="H30" s="125">
        <v>600</v>
      </c>
      <c r="I30" s="125">
        <v>600</v>
      </c>
      <c r="J30" s="126">
        <f t="shared" ref="J30:J61" si="8">I30-H30</f>
        <v>0</v>
      </c>
      <c r="K30" s="127">
        <v>407</v>
      </c>
      <c r="L30" s="127">
        <v>201.6</v>
      </c>
      <c r="M30" s="138" t="s">
        <v>151</v>
      </c>
      <c r="N30" s="117">
        <f t="shared" ref="N30:N61" si="9">I30*P30/100</f>
        <v>300000</v>
      </c>
      <c r="O30" s="117">
        <f t="shared" ref="O30:O61" si="10">K30*300</f>
        <v>122100</v>
      </c>
      <c r="P30" s="117">
        <v>50000</v>
      </c>
      <c r="Q30" s="117">
        <f t="shared" ref="Q30:Q61" si="11">N30+O30</f>
        <v>422100</v>
      </c>
    </row>
    <row r="31" spans="1:17" ht="20.05" customHeight="1" x14ac:dyDescent="0.7">
      <c r="A31" s="119">
        <v>26</v>
      </c>
      <c r="B31" s="139">
        <v>74</v>
      </c>
      <c r="C31" s="60">
        <v>9</v>
      </c>
      <c r="D31" s="124" t="s">
        <v>152</v>
      </c>
      <c r="E31" s="124" t="s">
        <v>153</v>
      </c>
      <c r="F31" s="124" t="s">
        <v>67</v>
      </c>
      <c r="G31" s="60">
        <v>107</v>
      </c>
      <c r="H31" s="125">
        <v>660</v>
      </c>
      <c r="I31" s="125">
        <v>660</v>
      </c>
      <c r="J31" s="126">
        <f t="shared" si="8"/>
        <v>0</v>
      </c>
      <c r="K31" s="127">
        <v>404</v>
      </c>
      <c r="L31" s="127">
        <v>110.21</v>
      </c>
      <c r="M31" s="138" t="s">
        <v>154</v>
      </c>
      <c r="N31" s="117">
        <f t="shared" si="9"/>
        <v>330000</v>
      </c>
      <c r="O31" s="117">
        <f t="shared" si="10"/>
        <v>121200</v>
      </c>
      <c r="P31" s="117">
        <v>50000</v>
      </c>
      <c r="Q31" s="117">
        <f t="shared" si="11"/>
        <v>451200</v>
      </c>
    </row>
    <row r="32" spans="1:17" ht="20.05" customHeight="1" x14ac:dyDescent="0.7">
      <c r="A32" s="119">
        <v>27</v>
      </c>
      <c r="B32" s="139">
        <v>75</v>
      </c>
      <c r="C32" s="60">
        <v>9</v>
      </c>
      <c r="D32" s="124" t="s">
        <v>152</v>
      </c>
      <c r="E32" s="124" t="s">
        <v>155</v>
      </c>
      <c r="F32" s="124" t="s">
        <v>67</v>
      </c>
      <c r="G32" s="60">
        <v>105</v>
      </c>
      <c r="H32" s="125">
        <v>1592</v>
      </c>
      <c r="I32" s="127">
        <v>663</v>
      </c>
      <c r="J32" s="126">
        <f t="shared" si="8"/>
        <v>-929</v>
      </c>
      <c r="K32" s="127">
        <v>146</v>
      </c>
      <c r="L32" s="127">
        <v>72.12</v>
      </c>
      <c r="M32" s="138" t="s">
        <v>156</v>
      </c>
      <c r="N32" s="117">
        <f t="shared" si="9"/>
        <v>331500</v>
      </c>
      <c r="O32" s="117">
        <f t="shared" si="10"/>
        <v>43800</v>
      </c>
      <c r="P32" s="117">
        <v>50000</v>
      </c>
      <c r="Q32" s="117">
        <f t="shared" si="11"/>
        <v>375300</v>
      </c>
    </row>
    <row r="33" spans="1:17" ht="20.05" customHeight="1" x14ac:dyDescent="0.7">
      <c r="A33" s="119">
        <v>28</v>
      </c>
      <c r="B33" s="139">
        <v>76</v>
      </c>
      <c r="C33" s="60">
        <v>9</v>
      </c>
      <c r="D33" s="124" t="s">
        <v>157</v>
      </c>
      <c r="E33" s="124" t="s">
        <v>158</v>
      </c>
      <c r="F33" s="124" t="s">
        <v>67</v>
      </c>
      <c r="G33" s="60" t="s">
        <v>159</v>
      </c>
      <c r="H33" s="125">
        <v>1592</v>
      </c>
      <c r="I33" s="127">
        <v>929</v>
      </c>
      <c r="J33" s="126">
        <f t="shared" si="8"/>
        <v>-663</v>
      </c>
      <c r="K33" s="127">
        <v>465</v>
      </c>
      <c r="L33" s="127">
        <v>224.02</v>
      </c>
      <c r="M33" s="138" t="s">
        <v>160</v>
      </c>
      <c r="N33" s="117">
        <f t="shared" si="9"/>
        <v>464500</v>
      </c>
      <c r="O33" s="117">
        <f t="shared" si="10"/>
        <v>139500</v>
      </c>
      <c r="P33" s="117">
        <v>50000</v>
      </c>
      <c r="Q33" s="117">
        <f t="shared" si="11"/>
        <v>604000</v>
      </c>
    </row>
    <row r="34" spans="1:17" ht="20.05" customHeight="1" x14ac:dyDescent="0.7">
      <c r="A34" s="119">
        <v>29</v>
      </c>
      <c r="B34" s="139">
        <v>77</v>
      </c>
      <c r="C34" s="60">
        <v>9</v>
      </c>
      <c r="D34" s="124" t="s">
        <v>161</v>
      </c>
      <c r="E34" s="124" t="s">
        <v>162</v>
      </c>
      <c r="F34" s="124" t="s">
        <v>67</v>
      </c>
      <c r="G34" s="60">
        <v>103</v>
      </c>
      <c r="H34" s="125">
        <v>488</v>
      </c>
      <c r="I34" s="125">
        <v>488</v>
      </c>
      <c r="J34" s="126">
        <f t="shared" si="8"/>
        <v>0</v>
      </c>
      <c r="K34" s="127">
        <v>93</v>
      </c>
      <c r="L34" s="127">
        <v>39.4</v>
      </c>
      <c r="M34" s="138" t="s">
        <v>163</v>
      </c>
      <c r="N34" s="117">
        <f t="shared" si="9"/>
        <v>244000</v>
      </c>
      <c r="O34" s="117">
        <f t="shared" si="10"/>
        <v>27900</v>
      </c>
      <c r="P34" s="117">
        <v>50000</v>
      </c>
      <c r="Q34" s="117">
        <f t="shared" si="11"/>
        <v>271900</v>
      </c>
    </row>
    <row r="35" spans="1:17" ht="20.05" customHeight="1" x14ac:dyDescent="0.7">
      <c r="A35" s="119">
        <v>30</v>
      </c>
      <c r="B35" s="139">
        <v>78</v>
      </c>
      <c r="C35" s="60">
        <v>9</v>
      </c>
      <c r="D35" s="124" t="s">
        <v>164</v>
      </c>
      <c r="E35" s="124" t="s">
        <v>165</v>
      </c>
      <c r="F35" s="124" t="s">
        <v>67</v>
      </c>
      <c r="G35" s="60">
        <v>101</v>
      </c>
      <c r="H35" s="125">
        <v>600</v>
      </c>
      <c r="I35" s="127">
        <v>670</v>
      </c>
      <c r="J35" s="126">
        <f t="shared" si="8"/>
        <v>70</v>
      </c>
      <c r="K35" s="127">
        <v>134</v>
      </c>
      <c r="L35" s="127">
        <v>43.11</v>
      </c>
      <c r="M35" s="138" t="s">
        <v>166</v>
      </c>
      <c r="N35" s="117">
        <f t="shared" si="9"/>
        <v>335000</v>
      </c>
      <c r="O35" s="117">
        <f t="shared" si="10"/>
        <v>40200</v>
      </c>
      <c r="P35" s="117">
        <v>50000</v>
      </c>
      <c r="Q35" s="117">
        <f t="shared" si="11"/>
        <v>375200</v>
      </c>
    </row>
    <row r="36" spans="1:17" ht="20.05" customHeight="1" x14ac:dyDescent="0.7">
      <c r="A36" s="119">
        <v>31</v>
      </c>
      <c r="B36" s="139">
        <v>79</v>
      </c>
      <c r="C36" s="60">
        <v>9</v>
      </c>
      <c r="D36" s="124" t="s">
        <v>167</v>
      </c>
      <c r="E36" s="124" t="s">
        <v>168</v>
      </c>
      <c r="F36" s="124" t="s">
        <v>67</v>
      </c>
      <c r="G36" s="60">
        <v>1</v>
      </c>
      <c r="H36" s="125">
        <v>558</v>
      </c>
      <c r="I36" s="127">
        <v>572</v>
      </c>
      <c r="J36" s="126">
        <f t="shared" si="8"/>
        <v>14</v>
      </c>
      <c r="K36" s="127">
        <v>295</v>
      </c>
      <c r="L36" s="127">
        <v>99.59</v>
      </c>
      <c r="M36" s="138" t="s">
        <v>169</v>
      </c>
      <c r="N36" s="117">
        <f t="shared" si="9"/>
        <v>343200</v>
      </c>
      <c r="O36" s="117">
        <f t="shared" si="10"/>
        <v>88500</v>
      </c>
      <c r="P36" s="117">
        <v>60000</v>
      </c>
      <c r="Q36" s="117">
        <f t="shared" si="11"/>
        <v>431700</v>
      </c>
    </row>
    <row r="37" spans="1:17" ht="20.05" customHeight="1" x14ac:dyDescent="0.7">
      <c r="A37" s="119">
        <v>32</v>
      </c>
      <c r="B37" s="139">
        <v>80</v>
      </c>
      <c r="C37" s="60">
        <v>9</v>
      </c>
      <c r="D37" s="124" t="s">
        <v>170</v>
      </c>
      <c r="E37" s="124" t="s">
        <v>171</v>
      </c>
      <c r="F37" s="124" t="s">
        <v>67</v>
      </c>
      <c r="G37" s="60">
        <v>3</v>
      </c>
      <c r="H37" s="125">
        <v>1310</v>
      </c>
      <c r="I37" s="125">
        <v>1310</v>
      </c>
      <c r="J37" s="126">
        <f t="shared" si="8"/>
        <v>0</v>
      </c>
      <c r="K37" s="127">
        <v>639</v>
      </c>
      <c r="L37" s="127">
        <v>269.67</v>
      </c>
      <c r="M37" s="138" t="s">
        <v>172</v>
      </c>
      <c r="N37" s="117">
        <f t="shared" si="9"/>
        <v>786000</v>
      </c>
      <c r="O37" s="117">
        <f t="shared" si="10"/>
        <v>191700</v>
      </c>
      <c r="P37" s="117">
        <v>60000</v>
      </c>
      <c r="Q37" s="117">
        <f t="shared" si="11"/>
        <v>977700</v>
      </c>
    </row>
    <row r="38" spans="1:17" ht="20.05" customHeight="1" x14ac:dyDescent="0.7">
      <c r="A38" s="119">
        <v>33</v>
      </c>
      <c r="B38" s="139">
        <v>81</v>
      </c>
      <c r="C38" s="60">
        <v>9</v>
      </c>
      <c r="D38" s="124" t="s">
        <v>173</v>
      </c>
      <c r="E38" s="124" t="s">
        <v>174</v>
      </c>
      <c r="F38" s="124" t="s">
        <v>67</v>
      </c>
      <c r="G38" s="60" t="s">
        <v>175</v>
      </c>
      <c r="H38" s="125">
        <v>885</v>
      </c>
      <c r="I38" s="127">
        <v>904</v>
      </c>
      <c r="J38" s="126">
        <f t="shared" si="8"/>
        <v>19</v>
      </c>
      <c r="K38" s="127">
        <v>508</v>
      </c>
      <c r="L38" s="127">
        <v>125.99</v>
      </c>
      <c r="M38" s="138" t="s">
        <v>176</v>
      </c>
      <c r="N38" s="117">
        <f t="shared" si="9"/>
        <v>452000</v>
      </c>
      <c r="O38" s="117">
        <f t="shared" si="10"/>
        <v>152400</v>
      </c>
      <c r="P38" s="117">
        <v>50000</v>
      </c>
      <c r="Q38" s="117">
        <f t="shared" si="11"/>
        <v>604400</v>
      </c>
    </row>
    <row r="39" spans="1:17" ht="20.05" customHeight="1" x14ac:dyDescent="0.7">
      <c r="A39" s="119">
        <v>34</v>
      </c>
      <c r="B39" s="139">
        <v>82</v>
      </c>
      <c r="C39" s="60">
        <v>9</v>
      </c>
      <c r="D39" s="124" t="s">
        <v>177</v>
      </c>
      <c r="E39" s="124" t="s">
        <v>178</v>
      </c>
      <c r="F39" s="124" t="s">
        <v>67</v>
      </c>
      <c r="G39" s="60" t="s">
        <v>179</v>
      </c>
      <c r="H39" s="125">
        <v>430</v>
      </c>
      <c r="I39" s="125">
        <v>430</v>
      </c>
      <c r="J39" s="126">
        <f t="shared" si="8"/>
        <v>0</v>
      </c>
      <c r="K39" s="127">
        <v>179</v>
      </c>
      <c r="L39" s="127">
        <v>28.6</v>
      </c>
      <c r="M39" s="138" t="s">
        <v>180</v>
      </c>
      <c r="N39" s="117">
        <f t="shared" si="9"/>
        <v>215000</v>
      </c>
      <c r="O39" s="117">
        <f t="shared" si="10"/>
        <v>53700</v>
      </c>
      <c r="P39" s="117">
        <v>50000</v>
      </c>
      <c r="Q39" s="117">
        <f t="shared" si="11"/>
        <v>268700</v>
      </c>
    </row>
    <row r="40" spans="1:17" ht="20.05" customHeight="1" x14ac:dyDescent="0.7">
      <c r="A40" s="119">
        <v>35</v>
      </c>
      <c r="B40" s="139">
        <v>86</v>
      </c>
      <c r="C40" s="60">
        <v>9</v>
      </c>
      <c r="D40" s="124" t="s">
        <v>181</v>
      </c>
      <c r="E40" s="124" t="s">
        <v>182</v>
      </c>
      <c r="F40" s="124" t="s">
        <v>67</v>
      </c>
      <c r="G40" s="60">
        <v>11</v>
      </c>
      <c r="H40" s="125">
        <v>631</v>
      </c>
      <c r="I40" s="125">
        <v>631</v>
      </c>
      <c r="J40" s="126">
        <f t="shared" si="8"/>
        <v>0</v>
      </c>
      <c r="K40" s="127">
        <v>227</v>
      </c>
      <c r="L40" s="127">
        <v>107.48</v>
      </c>
      <c r="M40" s="138" t="s">
        <v>183</v>
      </c>
      <c r="N40" s="117">
        <f t="shared" si="9"/>
        <v>315500</v>
      </c>
      <c r="O40" s="117">
        <f t="shared" si="10"/>
        <v>68100</v>
      </c>
      <c r="P40" s="117">
        <v>50000</v>
      </c>
      <c r="Q40" s="117">
        <f t="shared" si="11"/>
        <v>383600</v>
      </c>
    </row>
    <row r="41" spans="1:17" ht="20.05" customHeight="1" x14ac:dyDescent="0.7">
      <c r="A41" s="119">
        <v>36</v>
      </c>
      <c r="B41" s="139">
        <v>88</v>
      </c>
      <c r="C41" s="60">
        <v>9</v>
      </c>
      <c r="D41" s="124" t="s">
        <v>184</v>
      </c>
      <c r="E41" s="124" t="s">
        <v>185</v>
      </c>
      <c r="F41" s="124" t="s">
        <v>67</v>
      </c>
      <c r="G41" s="60" t="s">
        <v>186</v>
      </c>
      <c r="H41" s="125">
        <v>588</v>
      </c>
      <c r="I41" s="125">
        <v>588</v>
      </c>
      <c r="J41" s="126">
        <f t="shared" si="8"/>
        <v>0</v>
      </c>
      <c r="K41" s="127">
        <v>225</v>
      </c>
      <c r="L41" s="127">
        <v>179.76</v>
      </c>
      <c r="M41" s="138" t="s">
        <v>187</v>
      </c>
      <c r="N41" s="117">
        <f t="shared" si="9"/>
        <v>294000</v>
      </c>
      <c r="O41" s="117">
        <f t="shared" si="10"/>
        <v>67500</v>
      </c>
      <c r="P41" s="117">
        <v>50000</v>
      </c>
      <c r="Q41" s="117">
        <f t="shared" si="11"/>
        <v>361500</v>
      </c>
    </row>
    <row r="42" spans="1:17" ht="20.05" customHeight="1" x14ac:dyDescent="0.7">
      <c r="A42" s="119">
        <v>37</v>
      </c>
      <c r="B42" s="142">
        <v>89</v>
      </c>
      <c r="C42" s="60">
        <v>9</v>
      </c>
      <c r="D42" s="124" t="s">
        <v>188</v>
      </c>
      <c r="E42" s="124" t="s">
        <v>189</v>
      </c>
      <c r="F42" s="124" t="s">
        <v>67</v>
      </c>
      <c r="G42" s="60">
        <v>20</v>
      </c>
      <c r="H42" s="125">
        <v>600</v>
      </c>
      <c r="I42" s="125">
        <v>600</v>
      </c>
      <c r="J42" s="126">
        <f t="shared" si="8"/>
        <v>0</v>
      </c>
      <c r="K42" s="127">
        <v>360</v>
      </c>
      <c r="L42" s="127">
        <v>137.62</v>
      </c>
      <c r="M42" s="138" t="s">
        <v>190</v>
      </c>
      <c r="N42" s="117">
        <f t="shared" si="9"/>
        <v>360000</v>
      </c>
      <c r="O42" s="117">
        <f t="shared" si="10"/>
        <v>108000</v>
      </c>
      <c r="P42" s="117">
        <v>60000</v>
      </c>
      <c r="Q42" s="117">
        <f t="shared" si="11"/>
        <v>468000</v>
      </c>
    </row>
    <row r="43" spans="1:17" ht="20.05" customHeight="1" x14ac:dyDescent="0.7">
      <c r="A43" s="119">
        <v>38</v>
      </c>
      <c r="B43" s="142">
        <v>90</v>
      </c>
      <c r="C43" s="60">
        <v>9</v>
      </c>
      <c r="D43" s="124" t="s">
        <v>191</v>
      </c>
      <c r="E43" s="124" t="s">
        <v>192</v>
      </c>
      <c r="F43" s="124" t="s">
        <v>67</v>
      </c>
      <c r="G43" s="60" t="s">
        <v>193</v>
      </c>
      <c r="H43" s="125">
        <v>300</v>
      </c>
      <c r="I43" s="127">
        <v>295</v>
      </c>
      <c r="J43" s="126">
        <f t="shared" si="8"/>
        <v>-5</v>
      </c>
      <c r="K43" s="127">
        <v>295</v>
      </c>
      <c r="L43" s="127">
        <v>31.36</v>
      </c>
      <c r="M43" s="138" t="s">
        <v>194</v>
      </c>
      <c r="N43" s="117">
        <f t="shared" si="9"/>
        <v>177000</v>
      </c>
      <c r="O43" s="117">
        <f t="shared" si="10"/>
        <v>88500</v>
      </c>
      <c r="P43" s="117">
        <v>60000</v>
      </c>
      <c r="Q43" s="117">
        <f t="shared" si="11"/>
        <v>265500</v>
      </c>
    </row>
    <row r="44" spans="1:17" ht="20.05" customHeight="1" x14ac:dyDescent="0.7">
      <c r="A44" s="119">
        <v>39</v>
      </c>
      <c r="B44" s="142">
        <v>91</v>
      </c>
      <c r="C44" s="60">
        <v>9</v>
      </c>
      <c r="D44" s="124" t="s">
        <v>195</v>
      </c>
      <c r="E44" s="124" t="s">
        <v>196</v>
      </c>
      <c r="F44" s="124" t="s">
        <v>197</v>
      </c>
      <c r="G44" s="60" t="s">
        <v>198</v>
      </c>
      <c r="H44" s="125">
        <v>171</v>
      </c>
      <c r="I44" s="125">
        <v>171</v>
      </c>
      <c r="J44" s="126">
        <f t="shared" si="8"/>
        <v>0</v>
      </c>
      <c r="K44" s="127">
        <v>102</v>
      </c>
      <c r="L44" s="127">
        <v>50.64</v>
      </c>
      <c r="M44" s="138" t="s">
        <v>199</v>
      </c>
      <c r="N44" s="117">
        <f t="shared" si="9"/>
        <v>85500</v>
      </c>
      <c r="O44" s="117">
        <f t="shared" si="10"/>
        <v>30600</v>
      </c>
      <c r="P44" s="117">
        <v>50000</v>
      </c>
      <c r="Q44" s="117">
        <f t="shared" si="11"/>
        <v>116100</v>
      </c>
    </row>
    <row r="45" spans="1:17" ht="20.05" customHeight="1" x14ac:dyDescent="0.7">
      <c r="A45" s="119">
        <v>40</v>
      </c>
      <c r="B45" s="142">
        <v>92</v>
      </c>
      <c r="C45" s="60">
        <v>9</v>
      </c>
      <c r="D45" s="124" t="s">
        <v>200</v>
      </c>
      <c r="E45" s="124" t="s">
        <v>201</v>
      </c>
      <c r="F45" s="124" t="s">
        <v>202</v>
      </c>
      <c r="G45" s="60">
        <v>18</v>
      </c>
      <c r="H45" s="125">
        <v>674</v>
      </c>
      <c r="I45" s="127">
        <v>503</v>
      </c>
      <c r="J45" s="126">
        <f t="shared" si="8"/>
        <v>-171</v>
      </c>
      <c r="K45" s="127">
        <v>284</v>
      </c>
      <c r="L45" s="127">
        <v>161.47999999999999</v>
      </c>
      <c r="M45" s="138" t="s">
        <v>203</v>
      </c>
      <c r="N45" s="117">
        <f t="shared" si="9"/>
        <v>251500</v>
      </c>
      <c r="O45" s="117">
        <f t="shared" si="10"/>
        <v>85200</v>
      </c>
      <c r="P45" s="117">
        <v>50000</v>
      </c>
      <c r="Q45" s="117">
        <f t="shared" si="11"/>
        <v>336700</v>
      </c>
    </row>
    <row r="46" spans="1:17" ht="20.05" customHeight="1" x14ac:dyDescent="0.7">
      <c r="A46" s="119">
        <v>41</v>
      </c>
      <c r="B46" s="142">
        <v>93</v>
      </c>
      <c r="C46" s="60">
        <v>9</v>
      </c>
      <c r="D46" s="124" t="s">
        <v>204</v>
      </c>
      <c r="E46" s="124" t="s">
        <v>205</v>
      </c>
      <c r="F46" s="124" t="s">
        <v>67</v>
      </c>
      <c r="G46" s="60">
        <v>22</v>
      </c>
      <c r="H46" s="125">
        <v>300</v>
      </c>
      <c r="I46" s="125">
        <v>300</v>
      </c>
      <c r="J46" s="126">
        <f t="shared" si="8"/>
        <v>0</v>
      </c>
      <c r="K46" s="127">
        <v>64</v>
      </c>
      <c r="L46" s="127">
        <v>35.06</v>
      </c>
      <c r="M46" s="138" t="s">
        <v>206</v>
      </c>
      <c r="N46" s="117">
        <f t="shared" si="9"/>
        <v>180000</v>
      </c>
      <c r="O46" s="117">
        <f t="shared" si="10"/>
        <v>19200</v>
      </c>
      <c r="P46" s="117">
        <v>60000</v>
      </c>
      <c r="Q46" s="117">
        <f t="shared" si="11"/>
        <v>199200</v>
      </c>
    </row>
    <row r="47" spans="1:17" ht="20.05" customHeight="1" x14ac:dyDescent="0.7">
      <c r="A47" s="119">
        <v>42</v>
      </c>
      <c r="B47" s="142">
        <v>94</v>
      </c>
      <c r="C47" s="60">
        <v>9</v>
      </c>
      <c r="D47" s="124" t="s">
        <v>207</v>
      </c>
      <c r="E47" s="124" t="s">
        <v>208</v>
      </c>
      <c r="F47" s="124" t="s">
        <v>67</v>
      </c>
      <c r="G47" s="60" t="s">
        <v>209</v>
      </c>
      <c r="H47" s="125">
        <v>340</v>
      </c>
      <c r="I47" s="127">
        <v>340</v>
      </c>
      <c r="J47" s="126">
        <f t="shared" si="8"/>
        <v>0</v>
      </c>
      <c r="K47" s="127">
        <v>244</v>
      </c>
      <c r="L47" s="127">
        <v>139.44999999999999</v>
      </c>
      <c r="M47" s="138" t="s">
        <v>210</v>
      </c>
      <c r="N47" s="117">
        <f t="shared" si="9"/>
        <v>204000</v>
      </c>
      <c r="O47" s="117">
        <f t="shared" si="10"/>
        <v>73200</v>
      </c>
      <c r="P47" s="117">
        <v>60000</v>
      </c>
      <c r="Q47" s="117">
        <f t="shared" si="11"/>
        <v>277200</v>
      </c>
    </row>
    <row r="48" spans="1:17" ht="20.05" customHeight="1" x14ac:dyDescent="0.7">
      <c r="A48" s="119">
        <v>43</v>
      </c>
      <c r="B48" s="142">
        <v>95</v>
      </c>
      <c r="C48" s="60">
        <v>9</v>
      </c>
      <c r="D48" s="124" t="s">
        <v>211</v>
      </c>
      <c r="E48" s="124" t="s">
        <v>212</v>
      </c>
      <c r="F48" s="124" t="s">
        <v>67</v>
      </c>
      <c r="G48" s="60">
        <v>24</v>
      </c>
      <c r="H48" s="125">
        <v>600</v>
      </c>
      <c r="I48" s="127">
        <v>774</v>
      </c>
      <c r="J48" s="126">
        <f t="shared" si="8"/>
        <v>174</v>
      </c>
      <c r="K48" s="127">
        <v>223</v>
      </c>
      <c r="L48" s="127">
        <v>129.63999999999999</v>
      </c>
      <c r="M48" s="138" t="s">
        <v>213</v>
      </c>
      <c r="N48" s="117">
        <f t="shared" si="9"/>
        <v>464400</v>
      </c>
      <c r="O48" s="117">
        <f t="shared" si="10"/>
        <v>66900</v>
      </c>
      <c r="P48" s="117">
        <v>60000</v>
      </c>
      <c r="Q48" s="117">
        <f t="shared" si="11"/>
        <v>531300</v>
      </c>
    </row>
    <row r="49" spans="1:17" ht="20.05" customHeight="1" x14ac:dyDescent="0.7">
      <c r="A49" s="119">
        <v>44</v>
      </c>
      <c r="B49" s="142">
        <v>96</v>
      </c>
      <c r="C49" s="60">
        <v>9</v>
      </c>
      <c r="D49" s="124" t="s">
        <v>214</v>
      </c>
      <c r="E49" s="124" t="s">
        <v>215</v>
      </c>
      <c r="F49" s="124" t="s">
        <v>67</v>
      </c>
      <c r="G49" s="60">
        <v>26</v>
      </c>
      <c r="H49" s="125">
        <v>908</v>
      </c>
      <c r="I49" s="127">
        <v>893</v>
      </c>
      <c r="J49" s="126">
        <f t="shared" si="8"/>
        <v>-15</v>
      </c>
      <c r="K49" s="127">
        <v>485</v>
      </c>
      <c r="L49" s="127">
        <v>176.38</v>
      </c>
      <c r="M49" s="138" t="s">
        <v>216</v>
      </c>
      <c r="N49" s="117">
        <f t="shared" si="9"/>
        <v>535800</v>
      </c>
      <c r="O49" s="117">
        <f t="shared" si="10"/>
        <v>145500</v>
      </c>
      <c r="P49" s="117">
        <v>60000</v>
      </c>
      <c r="Q49" s="117">
        <f t="shared" si="11"/>
        <v>681300</v>
      </c>
    </row>
    <row r="50" spans="1:17" ht="20.05" customHeight="1" x14ac:dyDescent="0.7">
      <c r="A50" s="119">
        <v>45</v>
      </c>
      <c r="B50" s="142">
        <v>97</v>
      </c>
      <c r="C50" s="60">
        <v>9</v>
      </c>
      <c r="D50" s="124" t="s">
        <v>217</v>
      </c>
      <c r="E50" s="124" t="s">
        <v>218</v>
      </c>
      <c r="F50" s="124" t="s">
        <v>67</v>
      </c>
      <c r="G50" s="60">
        <v>14</v>
      </c>
      <c r="H50" s="125">
        <v>600</v>
      </c>
      <c r="I50" s="125">
        <v>600</v>
      </c>
      <c r="J50" s="126">
        <f t="shared" si="8"/>
        <v>0</v>
      </c>
      <c r="K50" s="127">
        <v>296</v>
      </c>
      <c r="L50" s="127">
        <v>131.83000000000001</v>
      </c>
      <c r="M50" s="138" t="s">
        <v>219</v>
      </c>
      <c r="N50" s="117">
        <f t="shared" si="9"/>
        <v>300000</v>
      </c>
      <c r="O50" s="117">
        <f t="shared" si="10"/>
        <v>88800</v>
      </c>
      <c r="P50" s="117">
        <v>50000</v>
      </c>
      <c r="Q50" s="117">
        <f t="shared" si="11"/>
        <v>388800</v>
      </c>
    </row>
    <row r="51" spans="1:17" ht="20.05" customHeight="1" x14ac:dyDescent="0.7">
      <c r="A51" s="119">
        <v>46</v>
      </c>
      <c r="B51" s="142">
        <v>98</v>
      </c>
      <c r="C51" s="60">
        <v>9</v>
      </c>
      <c r="D51" s="124" t="s">
        <v>220</v>
      </c>
      <c r="E51" s="124" t="s">
        <v>221</v>
      </c>
      <c r="F51" s="124" t="s">
        <v>67</v>
      </c>
      <c r="G51" s="60">
        <v>28</v>
      </c>
      <c r="H51" s="125">
        <v>847</v>
      </c>
      <c r="I51" s="127">
        <v>813</v>
      </c>
      <c r="J51" s="126">
        <f t="shared" si="8"/>
        <v>-34</v>
      </c>
      <c r="K51" s="127">
        <v>370</v>
      </c>
      <c r="L51" s="127">
        <v>275.27999999999997</v>
      </c>
      <c r="M51" s="138" t="s">
        <v>222</v>
      </c>
      <c r="N51" s="117">
        <f t="shared" si="9"/>
        <v>487800</v>
      </c>
      <c r="O51" s="117">
        <f t="shared" si="10"/>
        <v>111000</v>
      </c>
      <c r="P51" s="117">
        <v>60000</v>
      </c>
      <c r="Q51" s="117">
        <f t="shared" si="11"/>
        <v>598800</v>
      </c>
    </row>
    <row r="52" spans="1:17" ht="20.05" customHeight="1" x14ac:dyDescent="0.7">
      <c r="A52" s="119">
        <v>47</v>
      </c>
      <c r="B52" s="142">
        <v>99</v>
      </c>
      <c r="C52" s="60">
        <v>9</v>
      </c>
      <c r="D52" s="124" t="s">
        <v>223</v>
      </c>
      <c r="E52" s="124" t="s">
        <v>224</v>
      </c>
      <c r="F52" s="124" t="s">
        <v>67</v>
      </c>
      <c r="G52" s="60">
        <v>47</v>
      </c>
      <c r="H52" s="125">
        <v>456</v>
      </c>
      <c r="I52" s="125">
        <v>456</v>
      </c>
      <c r="J52" s="126">
        <f t="shared" si="8"/>
        <v>0</v>
      </c>
      <c r="K52" s="127">
        <v>233</v>
      </c>
      <c r="L52" s="127">
        <v>59.55</v>
      </c>
      <c r="M52" s="138" t="s">
        <v>225</v>
      </c>
      <c r="N52" s="117">
        <f t="shared" si="9"/>
        <v>273600</v>
      </c>
      <c r="O52" s="117">
        <f t="shared" si="10"/>
        <v>69900</v>
      </c>
      <c r="P52" s="117">
        <v>60000</v>
      </c>
      <c r="Q52" s="117">
        <f t="shared" si="11"/>
        <v>343500</v>
      </c>
    </row>
    <row r="53" spans="1:17" ht="20.05" customHeight="1" x14ac:dyDescent="0.7">
      <c r="A53" s="119">
        <v>48</v>
      </c>
      <c r="B53" s="142">
        <v>100</v>
      </c>
      <c r="C53" s="60">
        <v>9</v>
      </c>
      <c r="D53" s="124" t="s">
        <v>226</v>
      </c>
      <c r="E53" s="124" t="s">
        <v>227</v>
      </c>
      <c r="F53" s="124" t="s">
        <v>67</v>
      </c>
      <c r="G53" s="60" t="s">
        <v>228</v>
      </c>
      <c r="H53" s="125">
        <v>470</v>
      </c>
      <c r="I53" s="125">
        <v>470</v>
      </c>
      <c r="J53" s="126">
        <f t="shared" si="8"/>
        <v>0</v>
      </c>
      <c r="K53" s="127">
        <v>208</v>
      </c>
      <c r="L53" s="127">
        <v>76.64</v>
      </c>
      <c r="M53" s="138" t="s">
        <v>229</v>
      </c>
      <c r="N53" s="117">
        <f t="shared" si="9"/>
        <v>282000</v>
      </c>
      <c r="O53" s="117">
        <f t="shared" si="10"/>
        <v>62400</v>
      </c>
      <c r="P53" s="117">
        <v>60000</v>
      </c>
      <c r="Q53" s="117">
        <f t="shared" si="11"/>
        <v>344400</v>
      </c>
    </row>
    <row r="54" spans="1:17" ht="20.05" customHeight="1" x14ac:dyDescent="0.7">
      <c r="A54" s="119">
        <v>49</v>
      </c>
      <c r="B54" s="142">
        <v>101</v>
      </c>
      <c r="C54" s="60">
        <v>9</v>
      </c>
      <c r="D54" s="124" t="s">
        <v>230</v>
      </c>
      <c r="E54" s="124" t="s">
        <v>231</v>
      </c>
      <c r="F54" s="124" t="s">
        <v>67</v>
      </c>
      <c r="G54" s="60" t="s">
        <v>232</v>
      </c>
      <c r="H54" s="125">
        <v>600</v>
      </c>
      <c r="I54" s="125">
        <v>600</v>
      </c>
      <c r="J54" s="126">
        <f t="shared" si="8"/>
        <v>0</v>
      </c>
      <c r="K54" s="127">
        <v>217</v>
      </c>
      <c r="L54" s="127">
        <v>32.6</v>
      </c>
      <c r="M54" s="138" t="s">
        <v>233</v>
      </c>
      <c r="N54" s="117">
        <f t="shared" si="9"/>
        <v>300000</v>
      </c>
      <c r="O54" s="117">
        <f t="shared" si="10"/>
        <v>65100</v>
      </c>
      <c r="P54" s="117">
        <v>50000</v>
      </c>
      <c r="Q54" s="117">
        <f t="shared" si="11"/>
        <v>365100</v>
      </c>
    </row>
    <row r="55" spans="1:17" ht="20.05" customHeight="1" x14ac:dyDescent="0.7">
      <c r="A55" s="119">
        <v>50</v>
      </c>
      <c r="B55" s="142">
        <v>102</v>
      </c>
      <c r="C55" s="60">
        <v>9</v>
      </c>
      <c r="D55" s="124" t="s">
        <v>234</v>
      </c>
      <c r="E55" s="124" t="s">
        <v>235</v>
      </c>
      <c r="F55" s="124" t="s">
        <v>67</v>
      </c>
      <c r="G55" s="60">
        <v>49</v>
      </c>
      <c r="H55" s="125">
        <v>600</v>
      </c>
      <c r="I55" s="127">
        <v>580</v>
      </c>
      <c r="J55" s="126">
        <f t="shared" si="8"/>
        <v>-20</v>
      </c>
      <c r="K55" s="127">
        <v>463</v>
      </c>
      <c r="L55" s="127">
        <v>167.48</v>
      </c>
      <c r="M55" s="138" t="s">
        <v>156</v>
      </c>
      <c r="N55" s="117">
        <f t="shared" si="9"/>
        <v>290000</v>
      </c>
      <c r="O55" s="117">
        <f t="shared" si="10"/>
        <v>138900</v>
      </c>
      <c r="P55" s="117">
        <v>50000</v>
      </c>
      <c r="Q55" s="117">
        <f t="shared" si="11"/>
        <v>428900</v>
      </c>
    </row>
    <row r="56" spans="1:17" ht="20.05" customHeight="1" x14ac:dyDescent="0.7">
      <c r="A56" s="119">
        <v>51</v>
      </c>
      <c r="B56" s="142">
        <v>103</v>
      </c>
      <c r="C56" s="60">
        <v>9</v>
      </c>
      <c r="D56" s="124" t="s">
        <v>236</v>
      </c>
      <c r="E56" s="124" t="s">
        <v>237</v>
      </c>
      <c r="F56" s="124" t="s">
        <v>67</v>
      </c>
      <c r="G56" s="60">
        <v>5</v>
      </c>
      <c r="H56" s="125">
        <v>600</v>
      </c>
      <c r="I56" s="125">
        <v>600</v>
      </c>
      <c r="J56" s="126">
        <f t="shared" si="8"/>
        <v>0</v>
      </c>
      <c r="K56" s="127">
        <v>540</v>
      </c>
      <c r="L56" s="127">
        <v>216.77</v>
      </c>
      <c r="M56" s="138" t="s">
        <v>238</v>
      </c>
      <c r="N56" s="117">
        <f t="shared" si="9"/>
        <v>300000</v>
      </c>
      <c r="O56" s="117">
        <f t="shared" si="10"/>
        <v>162000</v>
      </c>
      <c r="P56" s="117">
        <v>50000</v>
      </c>
      <c r="Q56" s="117">
        <f t="shared" si="11"/>
        <v>462000</v>
      </c>
    </row>
    <row r="57" spans="1:17" ht="20.05" customHeight="1" x14ac:dyDescent="0.7">
      <c r="A57" s="119">
        <v>52</v>
      </c>
      <c r="B57" s="142">
        <v>104</v>
      </c>
      <c r="C57" s="60">
        <v>9</v>
      </c>
      <c r="D57" s="124" t="s">
        <v>239</v>
      </c>
      <c r="E57" s="124" t="s">
        <v>240</v>
      </c>
      <c r="F57" s="124" t="s">
        <v>67</v>
      </c>
      <c r="G57" s="60">
        <v>6</v>
      </c>
      <c r="H57" s="125">
        <v>648</v>
      </c>
      <c r="I57" s="127">
        <v>605</v>
      </c>
      <c r="J57" s="126">
        <f t="shared" si="8"/>
        <v>-43</v>
      </c>
      <c r="K57" s="127">
        <v>402</v>
      </c>
      <c r="L57" s="127">
        <v>197.97</v>
      </c>
      <c r="M57" s="138" t="s">
        <v>241</v>
      </c>
      <c r="N57" s="117">
        <f t="shared" si="9"/>
        <v>302500</v>
      </c>
      <c r="O57" s="117">
        <f t="shared" si="10"/>
        <v>120600</v>
      </c>
      <c r="P57" s="117">
        <v>50000</v>
      </c>
      <c r="Q57" s="117">
        <f t="shared" si="11"/>
        <v>423100</v>
      </c>
    </row>
    <row r="58" spans="1:17" ht="20.05" customHeight="1" x14ac:dyDescent="0.7">
      <c r="A58" s="119">
        <v>53</v>
      </c>
      <c r="B58" s="142">
        <v>105</v>
      </c>
      <c r="C58" s="60">
        <v>9</v>
      </c>
      <c r="D58" s="124" t="s">
        <v>242</v>
      </c>
      <c r="E58" s="124" t="s">
        <v>243</v>
      </c>
      <c r="F58" s="124" t="s">
        <v>67</v>
      </c>
      <c r="G58" s="60">
        <v>51</v>
      </c>
      <c r="H58" s="125">
        <v>791</v>
      </c>
      <c r="I58" s="127">
        <v>1270</v>
      </c>
      <c r="J58" s="126">
        <f t="shared" si="8"/>
        <v>479</v>
      </c>
      <c r="K58" s="127">
        <v>475</v>
      </c>
      <c r="L58" s="127">
        <v>198.25</v>
      </c>
      <c r="M58" s="138" t="s">
        <v>244</v>
      </c>
      <c r="N58" s="117">
        <f t="shared" si="9"/>
        <v>635000</v>
      </c>
      <c r="O58" s="117">
        <f t="shared" si="10"/>
        <v>142500</v>
      </c>
      <c r="P58" s="117">
        <v>50000</v>
      </c>
      <c r="Q58" s="117">
        <f t="shared" si="11"/>
        <v>777500</v>
      </c>
    </row>
    <row r="59" spans="1:17" ht="20.05" customHeight="1" x14ac:dyDescent="0.7">
      <c r="A59" s="119">
        <v>54</v>
      </c>
      <c r="B59" s="142">
        <v>106</v>
      </c>
      <c r="C59" s="60">
        <v>9</v>
      </c>
      <c r="D59" s="124" t="s">
        <v>245</v>
      </c>
      <c r="E59" s="124" t="s">
        <v>246</v>
      </c>
      <c r="F59" s="124" t="s">
        <v>67</v>
      </c>
      <c r="G59" s="60">
        <v>3</v>
      </c>
      <c r="H59" s="125">
        <v>600</v>
      </c>
      <c r="I59" s="127">
        <v>877</v>
      </c>
      <c r="J59" s="126">
        <f t="shared" si="8"/>
        <v>277</v>
      </c>
      <c r="K59" s="127">
        <v>409</v>
      </c>
      <c r="L59" s="127">
        <v>23.79</v>
      </c>
      <c r="M59" s="138" t="s">
        <v>247</v>
      </c>
      <c r="N59" s="117">
        <f t="shared" si="9"/>
        <v>438500</v>
      </c>
      <c r="O59" s="117">
        <f t="shared" si="10"/>
        <v>122700</v>
      </c>
      <c r="P59" s="117">
        <v>50000</v>
      </c>
      <c r="Q59" s="117">
        <f t="shared" si="11"/>
        <v>561200</v>
      </c>
    </row>
    <row r="60" spans="1:17" ht="20.05" customHeight="1" x14ac:dyDescent="0.7">
      <c r="A60" s="119">
        <v>55</v>
      </c>
      <c r="B60" s="142">
        <v>107</v>
      </c>
      <c r="C60" s="60">
        <v>9</v>
      </c>
      <c r="D60" s="124" t="s">
        <v>248</v>
      </c>
      <c r="E60" s="124" t="s">
        <v>249</v>
      </c>
      <c r="F60" s="124" t="s">
        <v>67</v>
      </c>
      <c r="G60" s="60">
        <v>8</v>
      </c>
      <c r="H60" s="125">
        <v>672</v>
      </c>
      <c r="I60" s="125">
        <v>672</v>
      </c>
      <c r="J60" s="126">
        <f t="shared" si="8"/>
        <v>0</v>
      </c>
      <c r="K60" s="127">
        <v>406</v>
      </c>
      <c r="L60" s="127">
        <v>189.59</v>
      </c>
      <c r="M60" s="138" t="s">
        <v>250</v>
      </c>
      <c r="N60" s="117">
        <f t="shared" si="9"/>
        <v>336000</v>
      </c>
      <c r="O60" s="117">
        <f t="shared" si="10"/>
        <v>121800</v>
      </c>
      <c r="P60" s="117">
        <v>50000</v>
      </c>
      <c r="Q60" s="117">
        <f t="shared" si="11"/>
        <v>457800</v>
      </c>
    </row>
    <row r="61" spans="1:17" ht="20.05" customHeight="1" x14ac:dyDescent="0.7">
      <c r="A61" s="119">
        <v>56</v>
      </c>
      <c r="B61" s="60">
        <v>161</v>
      </c>
      <c r="C61" s="60">
        <v>9</v>
      </c>
      <c r="D61" s="124" t="s">
        <v>251</v>
      </c>
      <c r="E61" s="124" t="s">
        <v>252</v>
      </c>
      <c r="F61" s="124" t="s">
        <v>67</v>
      </c>
      <c r="G61" s="60">
        <v>16</v>
      </c>
      <c r="H61" s="125">
        <v>458</v>
      </c>
      <c r="I61" s="125">
        <v>458</v>
      </c>
      <c r="J61" s="126">
        <f t="shared" si="8"/>
        <v>0</v>
      </c>
      <c r="K61" s="127">
        <v>328</v>
      </c>
      <c r="L61" s="127">
        <v>147.97</v>
      </c>
      <c r="M61" s="138" t="s">
        <v>253</v>
      </c>
      <c r="N61" s="117">
        <f t="shared" si="9"/>
        <v>229000</v>
      </c>
      <c r="O61" s="117">
        <f t="shared" si="10"/>
        <v>98400</v>
      </c>
      <c r="P61" s="117">
        <v>50000</v>
      </c>
      <c r="Q61" s="117">
        <f t="shared" si="11"/>
        <v>327400</v>
      </c>
    </row>
    <row r="62" spans="1:17" ht="20.05" customHeight="1" x14ac:dyDescent="0.6">
      <c r="A62" s="130"/>
      <c r="B62" s="130"/>
      <c r="C62" s="130"/>
      <c r="D62" s="133"/>
      <c r="E62" s="133"/>
      <c r="F62" s="133"/>
      <c r="G62" s="130"/>
      <c r="H62" s="140">
        <f>SUM(H30:H61)</f>
        <v>21169</v>
      </c>
      <c r="I62" s="140">
        <f t="shared" ref="I62:Q62" si="12">SUM(I30:I61)</f>
        <v>20322</v>
      </c>
      <c r="J62" s="140">
        <f t="shared" si="12"/>
        <v>-847</v>
      </c>
      <c r="K62" s="140">
        <f t="shared" si="12"/>
        <v>10126</v>
      </c>
      <c r="L62" s="140">
        <f t="shared" si="12"/>
        <v>4080.8999999999996</v>
      </c>
      <c r="M62" s="140">
        <f t="shared" si="12"/>
        <v>0</v>
      </c>
      <c r="N62" s="140">
        <f t="shared" si="12"/>
        <v>10843300</v>
      </c>
      <c r="O62" s="140">
        <f t="shared" si="12"/>
        <v>3037800</v>
      </c>
      <c r="P62" s="140">
        <f t="shared" si="12"/>
        <v>1710000</v>
      </c>
      <c r="Q62" s="140">
        <f t="shared" si="12"/>
        <v>13881100</v>
      </c>
    </row>
    <row r="63" spans="1:17" s="141" customFormat="1" ht="20.05" customHeight="1" x14ac:dyDescent="0.7">
      <c r="A63" s="119">
        <v>57</v>
      </c>
      <c r="B63" s="136">
        <v>3</v>
      </c>
      <c r="C63" s="60">
        <v>10</v>
      </c>
      <c r="D63" s="124" t="s">
        <v>254</v>
      </c>
      <c r="E63" s="124" t="s">
        <v>255</v>
      </c>
      <c r="F63" s="124" t="s">
        <v>67</v>
      </c>
      <c r="G63" s="60" t="s">
        <v>256</v>
      </c>
      <c r="H63" s="125">
        <v>487</v>
      </c>
      <c r="I63" s="125">
        <v>487</v>
      </c>
      <c r="J63" s="126">
        <f t="shared" ref="J63:J99" si="13">I63-H63</f>
        <v>0</v>
      </c>
      <c r="K63" s="127">
        <v>220</v>
      </c>
      <c r="L63" s="127">
        <v>36.4</v>
      </c>
      <c r="M63" s="138" t="s">
        <v>257</v>
      </c>
      <c r="N63" s="117">
        <f t="shared" ref="N63:N99" si="14">I63*P63/100</f>
        <v>243500</v>
      </c>
      <c r="O63" s="117">
        <f t="shared" ref="O63:O99" si="15">K63*300</f>
        <v>66000</v>
      </c>
      <c r="P63" s="117">
        <v>50000</v>
      </c>
      <c r="Q63" s="117">
        <f t="shared" ref="Q63:Q99" si="16">N63+O63</f>
        <v>309500</v>
      </c>
    </row>
    <row r="64" spans="1:17" ht="20.05" customHeight="1" x14ac:dyDescent="0.7">
      <c r="A64" s="119">
        <v>58</v>
      </c>
      <c r="B64" s="136">
        <v>4</v>
      </c>
      <c r="C64" s="60">
        <v>10</v>
      </c>
      <c r="D64" s="124" t="s">
        <v>258</v>
      </c>
      <c r="E64" s="124" t="s">
        <v>259</v>
      </c>
      <c r="F64" s="124" t="s">
        <v>67</v>
      </c>
      <c r="G64" s="60">
        <v>65</v>
      </c>
      <c r="H64" s="125">
        <v>600</v>
      </c>
      <c r="I64" s="127">
        <v>591</v>
      </c>
      <c r="J64" s="126">
        <f t="shared" si="13"/>
        <v>-9</v>
      </c>
      <c r="K64" s="127">
        <v>110</v>
      </c>
      <c r="L64" s="127">
        <v>11.2</v>
      </c>
      <c r="M64" s="138" t="s">
        <v>260</v>
      </c>
      <c r="N64" s="117">
        <f t="shared" si="14"/>
        <v>295500</v>
      </c>
      <c r="O64" s="117">
        <f t="shared" si="15"/>
        <v>33000</v>
      </c>
      <c r="P64" s="117">
        <v>50000</v>
      </c>
      <c r="Q64" s="117">
        <f t="shared" si="16"/>
        <v>328500</v>
      </c>
    </row>
    <row r="65" spans="1:17" ht="20.05" customHeight="1" x14ac:dyDescent="0.7">
      <c r="A65" s="119">
        <v>59</v>
      </c>
      <c r="B65" s="136">
        <v>6</v>
      </c>
      <c r="C65" s="60">
        <v>10</v>
      </c>
      <c r="D65" s="124" t="s">
        <v>261</v>
      </c>
      <c r="E65" s="124" t="s">
        <v>262</v>
      </c>
      <c r="F65" s="124" t="s">
        <v>67</v>
      </c>
      <c r="G65" s="60">
        <v>69</v>
      </c>
      <c r="H65" s="125">
        <v>941</v>
      </c>
      <c r="I65" s="125">
        <v>941</v>
      </c>
      <c r="J65" s="126">
        <f t="shared" si="13"/>
        <v>0</v>
      </c>
      <c r="K65" s="127">
        <v>340</v>
      </c>
      <c r="L65" s="127">
        <v>130.68</v>
      </c>
      <c r="M65" s="138" t="s">
        <v>263</v>
      </c>
      <c r="N65" s="117">
        <f t="shared" si="14"/>
        <v>470500</v>
      </c>
      <c r="O65" s="117">
        <f t="shared" si="15"/>
        <v>102000</v>
      </c>
      <c r="P65" s="117">
        <v>50000</v>
      </c>
      <c r="Q65" s="117">
        <f t="shared" si="16"/>
        <v>572500</v>
      </c>
    </row>
    <row r="66" spans="1:17" ht="20.05" customHeight="1" x14ac:dyDescent="0.7">
      <c r="A66" s="119">
        <v>60</v>
      </c>
      <c r="B66" s="136">
        <v>7</v>
      </c>
      <c r="C66" s="60">
        <v>10</v>
      </c>
      <c r="D66" s="124" t="s">
        <v>264</v>
      </c>
      <c r="E66" s="124" t="s">
        <v>265</v>
      </c>
      <c r="F66" s="124" t="s">
        <v>67</v>
      </c>
      <c r="G66" s="60">
        <v>71</v>
      </c>
      <c r="H66" s="125">
        <v>482</v>
      </c>
      <c r="I66" s="125">
        <v>482</v>
      </c>
      <c r="J66" s="126">
        <f t="shared" si="13"/>
        <v>0</v>
      </c>
      <c r="K66" s="127">
        <v>350</v>
      </c>
      <c r="L66" s="127">
        <v>164.96</v>
      </c>
      <c r="M66" s="138" t="s">
        <v>266</v>
      </c>
      <c r="N66" s="117">
        <f t="shared" si="14"/>
        <v>241000</v>
      </c>
      <c r="O66" s="117">
        <f t="shared" si="15"/>
        <v>105000</v>
      </c>
      <c r="P66" s="117">
        <v>50000</v>
      </c>
      <c r="Q66" s="117">
        <f t="shared" si="16"/>
        <v>346000</v>
      </c>
    </row>
    <row r="67" spans="1:17" ht="20.05" customHeight="1" x14ac:dyDescent="0.7">
      <c r="A67" s="119">
        <v>61</v>
      </c>
      <c r="B67" s="136">
        <v>8</v>
      </c>
      <c r="C67" s="60">
        <v>10</v>
      </c>
      <c r="D67" s="124" t="s">
        <v>267</v>
      </c>
      <c r="E67" s="124" t="s">
        <v>268</v>
      </c>
      <c r="F67" s="124" t="s">
        <v>67</v>
      </c>
      <c r="G67" s="60">
        <v>73</v>
      </c>
      <c r="H67" s="125">
        <v>837</v>
      </c>
      <c r="I67" s="125">
        <v>837</v>
      </c>
      <c r="J67" s="126">
        <f t="shared" si="13"/>
        <v>0</v>
      </c>
      <c r="K67" s="127">
        <v>339</v>
      </c>
      <c r="L67" s="127">
        <v>197.16</v>
      </c>
      <c r="M67" s="138" t="s">
        <v>269</v>
      </c>
      <c r="N67" s="117">
        <f t="shared" si="14"/>
        <v>418500</v>
      </c>
      <c r="O67" s="117">
        <f t="shared" si="15"/>
        <v>101700</v>
      </c>
      <c r="P67" s="117">
        <v>50000</v>
      </c>
      <c r="Q67" s="117">
        <f t="shared" si="16"/>
        <v>520200</v>
      </c>
    </row>
    <row r="68" spans="1:17" ht="20.05" customHeight="1" x14ac:dyDescent="0.7">
      <c r="A68" s="119">
        <v>62</v>
      </c>
      <c r="B68" s="136">
        <v>9</v>
      </c>
      <c r="C68" s="60">
        <v>10</v>
      </c>
      <c r="D68" s="124" t="s">
        <v>270</v>
      </c>
      <c r="E68" s="124" t="s">
        <v>271</v>
      </c>
      <c r="F68" s="124" t="s">
        <v>67</v>
      </c>
      <c r="G68" s="60" t="s">
        <v>272</v>
      </c>
      <c r="H68" s="125">
        <v>600</v>
      </c>
      <c r="I68" s="127">
        <v>582</v>
      </c>
      <c r="J68" s="126">
        <f t="shared" si="13"/>
        <v>-18</v>
      </c>
      <c r="K68" s="127">
        <v>353</v>
      </c>
      <c r="L68" s="127">
        <v>83.64</v>
      </c>
      <c r="M68" s="138" t="s">
        <v>273</v>
      </c>
      <c r="N68" s="117">
        <f t="shared" si="14"/>
        <v>291000</v>
      </c>
      <c r="O68" s="117">
        <f t="shared" si="15"/>
        <v>105900</v>
      </c>
      <c r="P68" s="117">
        <v>50000</v>
      </c>
      <c r="Q68" s="117">
        <f t="shared" si="16"/>
        <v>396900</v>
      </c>
    </row>
    <row r="69" spans="1:17" ht="20.05" customHeight="1" x14ac:dyDescent="0.7">
      <c r="A69" s="119">
        <v>63</v>
      </c>
      <c r="B69" s="136">
        <v>10</v>
      </c>
      <c r="C69" s="60">
        <v>10</v>
      </c>
      <c r="D69" s="124" t="s">
        <v>274</v>
      </c>
      <c r="E69" s="124" t="s">
        <v>275</v>
      </c>
      <c r="F69" s="124" t="s">
        <v>67</v>
      </c>
      <c r="G69" s="60">
        <v>61</v>
      </c>
      <c r="H69" s="125">
        <v>600</v>
      </c>
      <c r="I69" s="127">
        <v>598</v>
      </c>
      <c r="J69" s="126">
        <f t="shared" si="13"/>
        <v>-2</v>
      </c>
      <c r="K69" s="127">
        <v>163</v>
      </c>
      <c r="L69" s="127">
        <v>73.41</v>
      </c>
      <c r="M69" s="138" t="s">
        <v>276</v>
      </c>
      <c r="N69" s="117">
        <f t="shared" si="14"/>
        <v>299000</v>
      </c>
      <c r="O69" s="117">
        <f t="shared" si="15"/>
        <v>48900</v>
      </c>
      <c r="P69" s="117">
        <v>50000</v>
      </c>
      <c r="Q69" s="117">
        <f t="shared" si="16"/>
        <v>347900</v>
      </c>
    </row>
    <row r="70" spans="1:17" ht="20.05" customHeight="1" x14ac:dyDescent="0.7">
      <c r="A70" s="119">
        <v>64</v>
      </c>
      <c r="B70" s="136">
        <v>11</v>
      </c>
      <c r="C70" s="60">
        <v>10</v>
      </c>
      <c r="D70" s="124" t="s">
        <v>254</v>
      </c>
      <c r="E70" s="124" t="s">
        <v>277</v>
      </c>
      <c r="F70" s="124" t="s">
        <v>67</v>
      </c>
      <c r="G70" s="60">
        <v>75</v>
      </c>
      <c r="H70" s="125">
        <v>888</v>
      </c>
      <c r="I70" s="125">
        <v>888</v>
      </c>
      <c r="J70" s="126">
        <f t="shared" si="13"/>
        <v>0</v>
      </c>
      <c r="K70" s="127">
        <v>504</v>
      </c>
      <c r="L70" s="127">
        <v>228.01</v>
      </c>
      <c r="M70" s="138" t="s">
        <v>278</v>
      </c>
      <c r="N70" s="117">
        <f t="shared" si="14"/>
        <v>444000</v>
      </c>
      <c r="O70" s="117">
        <f t="shared" si="15"/>
        <v>151200</v>
      </c>
      <c r="P70" s="117">
        <v>50000</v>
      </c>
      <c r="Q70" s="117">
        <f t="shared" si="16"/>
        <v>595200</v>
      </c>
    </row>
    <row r="71" spans="1:17" ht="20.05" customHeight="1" x14ac:dyDescent="0.7">
      <c r="A71" s="119">
        <v>65</v>
      </c>
      <c r="B71" s="136">
        <v>12</v>
      </c>
      <c r="C71" s="60">
        <v>10</v>
      </c>
      <c r="D71" s="124" t="s">
        <v>279</v>
      </c>
      <c r="E71" s="124" t="s">
        <v>280</v>
      </c>
      <c r="F71" s="124" t="s">
        <v>67</v>
      </c>
      <c r="G71" s="60">
        <v>59</v>
      </c>
      <c r="H71" s="125">
        <v>600</v>
      </c>
      <c r="I71" s="125">
        <v>600</v>
      </c>
      <c r="J71" s="126">
        <f t="shared" si="13"/>
        <v>0</v>
      </c>
      <c r="K71" s="127">
        <v>244</v>
      </c>
      <c r="L71" s="127">
        <v>82.69</v>
      </c>
      <c r="M71" s="138" t="s">
        <v>281</v>
      </c>
      <c r="N71" s="117">
        <f t="shared" si="14"/>
        <v>300000</v>
      </c>
      <c r="O71" s="117">
        <f t="shared" si="15"/>
        <v>73200</v>
      </c>
      <c r="P71" s="117">
        <v>50000</v>
      </c>
      <c r="Q71" s="117">
        <f t="shared" si="16"/>
        <v>373200</v>
      </c>
    </row>
    <row r="72" spans="1:17" ht="20.05" customHeight="1" x14ac:dyDescent="0.7">
      <c r="A72" s="119">
        <v>66</v>
      </c>
      <c r="B72" s="136">
        <v>13</v>
      </c>
      <c r="C72" s="60">
        <v>10</v>
      </c>
      <c r="D72" s="124" t="s">
        <v>282</v>
      </c>
      <c r="E72" s="124" t="s">
        <v>283</v>
      </c>
      <c r="F72" s="124" t="s">
        <v>67</v>
      </c>
      <c r="G72" s="60">
        <v>77</v>
      </c>
      <c r="H72" s="125">
        <v>645</v>
      </c>
      <c r="I72" s="125">
        <v>645</v>
      </c>
      <c r="J72" s="126">
        <f t="shared" si="13"/>
        <v>0</v>
      </c>
      <c r="K72" s="127">
        <v>218</v>
      </c>
      <c r="L72" s="127">
        <v>60.36</v>
      </c>
      <c r="M72" s="138" t="s">
        <v>284</v>
      </c>
      <c r="N72" s="117">
        <f t="shared" si="14"/>
        <v>322500</v>
      </c>
      <c r="O72" s="117">
        <f t="shared" si="15"/>
        <v>65400</v>
      </c>
      <c r="P72" s="117">
        <v>50000</v>
      </c>
      <c r="Q72" s="117">
        <f t="shared" si="16"/>
        <v>387900</v>
      </c>
    </row>
    <row r="73" spans="1:17" ht="20.05" customHeight="1" x14ac:dyDescent="0.7">
      <c r="A73" s="119">
        <v>67</v>
      </c>
      <c r="B73" s="136">
        <v>14</v>
      </c>
      <c r="C73" s="60">
        <v>10</v>
      </c>
      <c r="D73" s="124" t="s">
        <v>285</v>
      </c>
      <c r="E73" s="124" t="s">
        <v>286</v>
      </c>
      <c r="F73" s="124" t="s">
        <v>67</v>
      </c>
      <c r="G73" s="60">
        <v>57</v>
      </c>
      <c r="H73" s="125">
        <v>575</v>
      </c>
      <c r="I73" s="125">
        <v>575</v>
      </c>
      <c r="J73" s="126">
        <f t="shared" si="13"/>
        <v>0</v>
      </c>
      <c r="K73" s="127">
        <v>302</v>
      </c>
      <c r="L73" s="127">
        <v>115.79</v>
      </c>
      <c r="M73" s="138" t="s">
        <v>287</v>
      </c>
      <c r="N73" s="117">
        <f t="shared" si="14"/>
        <v>287500</v>
      </c>
      <c r="O73" s="117">
        <f t="shared" si="15"/>
        <v>90600</v>
      </c>
      <c r="P73" s="117">
        <v>50000</v>
      </c>
      <c r="Q73" s="117">
        <f t="shared" si="16"/>
        <v>378100</v>
      </c>
    </row>
    <row r="74" spans="1:17" ht="20.05" customHeight="1" x14ac:dyDescent="0.7">
      <c r="A74" s="119">
        <v>68</v>
      </c>
      <c r="B74" s="136">
        <v>15</v>
      </c>
      <c r="C74" s="60">
        <v>10</v>
      </c>
      <c r="D74" s="124" t="s">
        <v>288</v>
      </c>
      <c r="E74" s="124" t="s">
        <v>289</v>
      </c>
      <c r="F74" s="124" t="s">
        <v>67</v>
      </c>
      <c r="G74" s="60">
        <v>55</v>
      </c>
      <c r="H74" s="125">
        <v>628</v>
      </c>
      <c r="I74" s="125">
        <v>628</v>
      </c>
      <c r="J74" s="126">
        <f t="shared" si="13"/>
        <v>0</v>
      </c>
      <c r="K74" s="127">
        <v>442</v>
      </c>
      <c r="L74" s="127">
        <v>74.77</v>
      </c>
      <c r="M74" s="138" t="s">
        <v>148</v>
      </c>
      <c r="N74" s="117">
        <f t="shared" si="14"/>
        <v>314000</v>
      </c>
      <c r="O74" s="117">
        <f t="shared" si="15"/>
        <v>132600</v>
      </c>
      <c r="P74" s="117">
        <v>50000</v>
      </c>
      <c r="Q74" s="117">
        <f t="shared" si="16"/>
        <v>446600</v>
      </c>
    </row>
    <row r="75" spans="1:17" ht="20.05" customHeight="1" x14ac:dyDescent="0.7">
      <c r="A75" s="119">
        <v>69</v>
      </c>
      <c r="B75" s="136">
        <v>16</v>
      </c>
      <c r="C75" s="60">
        <v>10</v>
      </c>
      <c r="D75" s="124" t="s">
        <v>290</v>
      </c>
      <c r="E75" s="124" t="s">
        <v>291</v>
      </c>
      <c r="F75" s="124" t="s">
        <v>67</v>
      </c>
      <c r="G75" s="60">
        <v>79</v>
      </c>
      <c r="H75" s="125">
        <v>600</v>
      </c>
      <c r="I75" s="127">
        <v>534</v>
      </c>
      <c r="J75" s="126">
        <f t="shared" si="13"/>
        <v>-66</v>
      </c>
      <c r="K75" s="127">
        <v>254</v>
      </c>
      <c r="L75" s="127">
        <v>100.3</v>
      </c>
      <c r="M75" s="138" t="s">
        <v>247</v>
      </c>
      <c r="N75" s="117">
        <f t="shared" si="14"/>
        <v>267000</v>
      </c>
      <c r="O75" s="117">
        <f t="shared" si="15"/>
        <v>76200</v>
      </c>
      <c r="P75" s="117">
        <v>50000</v>
      </c>
      <c r="Q75" s="117">
        <f t="shared" si="16"/>
        <v>343200</v>
      </c>
    </row>
    <row r="76" spans="1:17" ht="20.05" customHeight="1" x14ac:dyDescent="0.7">
      <c r="A76" s="119">
        <v>70</v>
      </c>
      <c r="B76" s="136">
        <v>17</v>
      </c>
      <c r="C76" s="60">
        <v>10</v>
      </c>
      <c r="D76" s="124" t="s">
        <v>292</v>
      </c>
      <c r="E76" s="124" t="s">
        <v>293</v>
      </c>
      <c r="F76" s="124" t="s">
        <v>133</v>
      </c>
      <c r="G76" s="60">
        <v>51</v>
      </c>
      <c r="H76" s="125">
        <v>600</v>
      </c>
      <c r="I76" s="127">
        <v>611</v>
      </c>
      <c r="J76" s="126">
        <f t="shared" si="13"/>
        <v>11</v>
      </c>
      <c r="K76" s="127">
        <v>452</v>
      </c>
      <c r="L76" s="127">
        <v>190.55</v>
      </c>
      <c r="M76" s="138" t="s">
        <v>294</v>
      </c>
      <c r="N76" s="117">
        <f t="shared" si="14"/>
        <v>305500</v>
      </c>
      <c r="O76" s="117">
        <f t="shared" si="15"/>
        <v>135600</v>
      </c>
      <c r="P76" s="117">
        <v>50000</v>
      </c>
      <c r="Q76" s="117">
        <f t="shared" si="16"/>
        <v>441100</v>
      </c>
    </row>
    <row r="77" spans="1:17" ht="20.05" customHeight="1" x14ac:dyDescent="0.7">
      <c r="A77" s="119">
        <v>71</v>
      </c>
      <c r="B77" s="136">
        <v>18</v>
      </c>
      <c r="C77" s="60">
        <v>10</v>
      </c>
      <c r="D77" s="124" t="s">
        <v>295</v>
      </c>
      <c r="E77" s="124" t="s">
        <v>296</v>
      </c>
      <c r="F77" s="124" t="s">
        <v>67</v>
      </c>
      <c r="G77" s="60">
        <v>53</v>
      </c>
      <c r="H77" s="125">
        <v>600</v>
      </c>
      <c r="I77" s="125">
        <v>600</v>
      </c>
      <c r="J77" s="126">
        <f t="shared" si="13"/>
        <v>0</v>
      </c>
      <c r="K77" s="127">
        <v>395</v>
      </c>
      <c r="L77" s="127">
        <v>167.02</v>
      </c>
      <c r="M77" s="138" t="s">
        <v>297</v>
      </c>
      <c r="N77" s="117">
        <f t="shared" si="14"/>
        <v>300000</v>
      </c>
      <c r="O77" s="117">
        <f t="shared" si="15"/>
        <v>118500</v>
      </c>
      <c r="P77" s="117">
        <v>50000</v>
      </c>
      <c r="Q77" s="117">
        <f t="shared" si="16"/>
        <v>418500</v>
      </c>
    </row>
    <row r="78" spans="1:17" ht="20.05" customHeight="1" x14ac:dyDescent="0.7">
      <c r="A78" s="119">
        <v>72</v>
      </c>
      <c r="B78" s="136">
        <v>20</v>
      </c>
      <c r="C78" s="60">
        <v>10</v>
      </c>
      <c r="D78" s="124" t="s">
        <v>298</v>
      </c>
      <c r="E78" s="124" t="s">
        <v>299</v>
      </c>
      <c r="F78" s="124" t="s">
        <v>133</v>
      </c>
      <c r="G78" s="60">
        <v>83</v>
      </c>
      <c r="H78" s="125">
        <v>600</v>
      </c>
      <c r="I78" s="125">
        <v>600</v>
      </c>
      <c r="J78" s="126">
        <f t="shared" si="13"/>
        <v>0</v>
      </c>
      <c r="K78" s="127">
        <v>360</v>
      </c>
      <c r="L78" s="127">
        <v>138.27000000000001</v>
      </c>
      <c r="M78" s="138" t="s">
        <v>300</v>
      </c>
      <c r="N78" s="117">
        <f t="shared" si="14"/>
        <v>300000</v>
      </c>
      <c r="O78" s="117">
        <f t="shared" si="15"/>
        <v>108000</v>
      </c>
      <c r="P78" s="117">
        <v>50000</v>
      </c>
      <c r="Q78" s="117">
        <f t="shared" si="16"/>
        <v>408000</v>
      </c>
    </row>
    <row r="79" spans="1:17" ht="20.05" customHeight="1" x14ac:dyDescent="0.7">
      <c r="A79" s="119">
        <v>73</v>
      </c>
      <c r="B79" s="136">
        <v>21</v>
      </c>
      <c r="C79" s="60">
        <v>10</v>
      </c>
      <c r="D79" s="143" t="s">
        <v>301</v>
      </c>
      <c r="E79" s="143" t="s">
        <v>302</v>
      </c>
      <c r="F79" s="124" t="s">
        <v>67</v>
      </c>
      <c r="G79" s="60">
        <v>49</v>
      </c>
      <c r="H79" s="125">
        <v>621</v>
      </c>
      <c r="I79" s="125">
        <v>621</v>
      </c>
      <c r="J79" s="126">
        <f t="shared" si="13"/>
        <v>0</v>
      </c>
      <c r="K79" s="127">
        <v>424</v>
      </c>
      <c r="L79" s="127">
        <v>165.41</v>
      </c>
      <c r="M79" s="138" t="s">
        <v>303</v>
      </c>
      <c r="N79" s="117">
        <f t="shared" si="14"/>
        <v>310500</v>
      </c>
      <c r="O79" s="117">
        <f t="shared" si="15"/>
        <v>127200</v>
      </c>
      <c r="P79" s="117">
        <v>50000</v>
      </c>
      <c r="Q79" s="117">
        <f t="shared" si="16"/>
        <v>437700</v>
      </c>
    </row>
    <row r="80" spans="1:17" ht="20.05" customHeight="1" x14ac:dyDescent="0.7">
      <c r="A80" s="119">
        <v>74</v>
      </c>
      <c r="B80" s="136">
        <v>22</v>
      </c>
      <c r="C80" s="60">
        <v>10</v>
      </c>
      <c r="D80" s="143" t="s">
        <v>304</v>
      </c>
      <c r="E80" s="143" t="s">
        <v>305</v>
      </c>
      <c r="F80" s="124" t="s">
        <v>67</v>
      </c>
      <c r="G80" s="60">
        <v>43</v>
      </c>
      <c r="H80" s="125">
        <v>552</v>
      </c>
      <c r="I80" s="125">
        <v>552</v>
      </c>
      <c r="J80" s="126">
        <f t="shared" si="13"/>
        <v>0</v>
      </c>
      <c r="K80" s="127">
        <v>237</v>
      </c>
      <c r="L80" s="127">
        <v>148.84</v>
      </c>
      <c r="M80" s="138" t="s">
        <v>306</v>
      </c>
      <c r="N80" s="117">
        <f t="shared" si="14"/>
        <v>276000</v>
      </c>
      <c r="O80" s="117">
        <f t="shared" si="15"/>
        <v>71100</v>
      </c>
      <c r="P80" s="117">
        <v>50000</v>
      </c>
      <c r="Q80" s="117">
        <f t="shared" si="16"/>
        <v>347100</v>
      </c>
    </row>
    <row r="81" spans="1:17" ht="20.05" customHeight="1" x14ac:dyDescent="0.7">
      <c r="A81" s="119">
        <v>75</v>
      </c>
      <c r="B81" s="136">
        <v>23</v>
      </c>
      <c r="C81" s="60">
        <v>10</v>
      </c>
      <c r="D81" s="124" t="s">
        <v>307</v>
      </c>
      <c r="E81" s="124" t="s">
        <v>308</v>
      </c>
      <c r="F81" s="124" t="s">
        <v>67</v>
      </c>
      <c r="G81" s="60" t="s">
        <v>309</v>
      </c>
      <c r="H81" s="125">
        <v>344</v>
      </c>
      <c r="I81" s="125">
        <v>344</v>
      </c>
      <c r="J81" s="126">
        <f t="shared" si="13"/>
        <v>0</v>
      </c>
      <c r="K81" s="127">
        <v>216</v>
      </c>
      <c r="L81" s="127">
        <v>29.47</v>
      </c>
      <c r="M81" s="138" t="s">
        <v>310</v>
      </c>
      <c r="N81" s="117">
        <f t="shared" si="14"/>
        <v>172000</v>
      </c>
      <c r="O81" s="117">
        <f t="shared" si="15"/>
        <v>64800</v>
      </c>
      <c r="P81" s="117">
        <v>50000</v>
      </c>
      <c r="Q81" s="117">
        <f t="shared" si="16"/>
        <v>236800</v>
      </c>
    </row>
    <row r="82" spans="1:17" ht="20.05" customHeight="1" x14ac:dyDescent="0.7">
      <c r="A82" s="119">
        <v>76</v>
      </c>
      <c r="B82" s="136">
        <v>24</v>
      </c>
      <c r="C82" s="60">
        <v>10</v>
      </c>
      <c r="D82" s="124" t="s">
        <v>311</v>
      </c>
      <c r="E82" s="124" t="s">
        <v>312</v>
      </c>
      <c r="F82" s="124" t="s">
        <v>67</v>
      </c>
      <c r="G82" s="60">
        <v>45</v>
      </c>
      <c r="H82" s="125">
        <v>1159</v>
      </c>
      <c r="I82" s="125">
        <v>1159</v>
      </c>
      <c r="J82" s="126">
        <f t="shared" si="13"/>
        <v>0</v>
      </c>
      <c r="K82" s="127">
        <v>147</v>
      </c>
      <c r="L82" s="127">
        <v>88</v>
      </c>
      <c r="M82" s="138" t="s">
        <v>313</v>
      </c>
      <c r="N82" s="117">
        <f t="shared" si="14"/>
        <v>579500</v>
      </c>
      <c r="O82" s="117">
        <f t="shared" si="15"/>
        <v>44100</v>
      </c>
      <c r="P82" s="117">
        <v>50000</v>
      </c>
      <c r="Q82" s="117">
        <f t="shared" si="16"/>
        <v>623600</v>
      </c>
    </row>
    <row r="83" spans="1:17" ht="20.05" customHeight="1" x14ac:dyDescent="0.7">
      <c r="A83" s="119">
        <v>77</v>
      </c>
      <c r="B83" s="136">
        <v>25</v>
      </c>
      <c r="C83" s="60">
        <v>10</v>
      </c>
      <c r="D83" s="124" t="s">
        <v>314</v>
      </c>
      <c r="E83" s="124" t="s">
        <v>315</v>
      </c>
      <c r="F83" s="124" t="s">
        <v>67</v>
      </c>
      <c r="G83" s="60">
        <v>41</v>
      </c>
      <c r="H83" s="125">
        <v>600</v>
      </c>
      <c r="I83" s="125">
        <v>600</v>
      </c>
      <c r="J83" s="126">
        <f t="shared" si="13"/>
        <v>0</v>
      </c>
      <c r="K83" s="127">
        <v>298</v>
      </c>
      <c r="L83" s="127">
        <v>83.78</v>
      </c>
      <c r="M83" s="138" t="s">
        <v>316</v>
      </c>
      <c r="N83" s="117">
        <f t="shared" si="14"/>
        <v>300000</v>
      </c>
      <c r="O83" s="117">
        <f t="shared" si="15"/>
        <v>89400</v>
      </c>
      <c r="P83" s="117">
        <v>50000</v>
      </c>
      <c r="Q83" s="117">
        <f t="shared" si="16"/>
        <v>389400</v>
      </c>
    </row>
    <row r="84" spans="1:17" ht="20.05" customHeight="1" x14ac:dyDescent="0.7">
      <c r="A84" s="119">
        <v>78</v>
      </c>
      <c r="B84" s="144">
        <v>26</v>
      </c>
      <c r="C84" s="60">
        <v>10</v>
      </c>
      <c r="D84" s="124" t="s">
        <v>317</v>
      </c>
      <c r="E84" s="124" t="s">
        <v>318</v>
      </c>
      <c r="F84" s="124" t="s">
        <v>67</v>
      </c>
      <c r="G84" s="60">
        <v>66</v>
      </c>
      <c r="H84" s="125">
        <v>970</v>
      </c>
      <c r="I84" s="127">
        <v>1203</v>
      </c>
      <c r="J84" s="126">
        <f t="shared" si="13"/>
        <v>233</v>
      </c>
      <c r="K84" s="127">
        <v>330</v>
      </c>
      <c r="L84" s="127">
        <v>195.23</v>
      </c>
      <c r="M84" s="138" t="s">
        <v>225</v>
      </c>
      <c r="N84" s="117">
        <f t="shared" si="14"/>
        <v>601500</v>
      </c>
      <c r="O84" s="117">
        <f t="shared" si="15"/>
        <v>99000</v>
      </c>
      <c r="P84" s="117">
        <v>50000</v>
      </c>
      <c r="Q84" s="117">
        <f t="shared" si="16"/>
        <v>700500</v>
      </c>
    </row>
    <row r="85" spans="1:17" ht="20.05" customHeight="1" x14ac:dyDescent="0.7">
      <c r="A85" s="119">
        <v>79</v>
      </c>
      <c r="B85" s="144">
        <v>27</v>
      </c>
      <c r="C85" s="60">
        <v>10</v>
      </c>
      <c r="D85" s="124" t="s">
        <v>319</v>
      </c>
      <c r="E85" s="124" t="s">
        <v>320</v>
      </c>
      <c r="F85" s="124" t="s">
        <v>67</v>
      </c>
      <c r="G85" s="60">
        <v>64</v>
      </c>
      <c r="H85" s="125">
        <v>1290</v>
      </c>
      <c r="I85" s="125">
        <v>1290</v>
      </c>
      <c r="J85" s="126">
        <f t="shared" si="13"/>
        <v>0</v>
      </c>
      <c r="K85" s="127">
        <v>628</v>
      </c>
      <c r="L85" s="127">
        <v>223.55</v>
      </c>
      <c r="M85" s="138" t="s">
        <v>321</v>
      </c>
      <c r="N85" s="117">
        <f t="shared" si="14"/>
        <v>645000</v>
      </c>
      <c r="O85" s="117">
        <f t="shared" si="15"/>
        <v>188400</v>
      </c>
      <c r="P85" s="117">
        <v>50000</v>
      </c>
      <c r="Q85" s="117">
        <f t="shared" si="16"/>
        <v>833400</v>
      </c>
    </row>
    <row r="86" spans="1:17" ht="20.05" customHeight="1" x14ac:dyDescent="0.7">
      <c r="A86" s="119">
        <v>80</v>
      </c>
      <c r="B86" s="144">
        <v>28</v>
      </c>
      <c r="C86" s="60">
        <v>10</v>
      </c>
      <c r="D86" s="124" t="s">
        <v>322</v>
      </c>
      <c r="E86" s="124" t="s">
        <v>323</v>
      </c>
      <c r="F86" s="124" t="s">
        <v>67</v>
      </c>
      <c r="G86" s="60" t="s">
        <v>324</v>
      </c>
      <c r="H86" s="125">
        <v>644</v>
      </c>
      <c r="I86" s="127">
        <v>644</v>
      </c>
      <c r="J86" s="126">
        <f t="shared" si="13"/>
        <v>0</v>
      </c>
      <c r="K86" s="127">
        <v>213</v>
      </c>
      <c r="L86" s="127">
        <v>70.739999999999995</v>
      </c>
      <c r="M86" s="138" t="s">
        <v>325</v>
      </c>
      <c r="N86" s="117">
        <f t="shared" si="14"/>
        <v>322000</v>
      </c>
      <c r="O86" s="117">
        <f t="shared" si="15"/>
        <v>63900</v>
      </c>
      <c r="P86" s="117">
        <v>50000</v>
      </c>
      <c r="Q86" s="117">
        <f t="shared" si="16"/>
        <v>385900</v>
      </c>
    </row>
    <row r="87" spans="1:17" ht="20.05" customHeight="1" x14ac:dyDescent="0.7">
      <c r="A87" s="119">
        <v>81</v>
      </c>
      <c r="B87" s="144">
        <v>29</v>
      </c>
      <c r="C87" s="60">
        <v>10</v>
      </c>
      <c r="D87" s="124" t="s">
        <v>326</v>
      </c>
      <c r="E87" s="124" t="s">
        <v>327</v>
      </c>
      <c r="F87" s="124" t="s">
        <v>67</v>
      </c>
      <c r="G87" s="60" t="s">
        <v>328</v>
      </c>
      <c r="H87" s="125">
        <v>538</v>
      </c>
      <c r="I87" s="125">
        <v>538</v>
      </c>
      <c r="J87" s="126">
        <f t="shared" si="13"/>
        <v>0</v>
      </c>
      <c r="K87" s="127">
        <v>327</v>
      </c>
      <c r="L87" s="127">
        <v>123.76</v>
      </c>
      <c r="M87" s="138" t="s">
        <v>329</v>
      </c>
      <c r="N87" s="117">
        <f t="shared" si="14"/>
        <v>269000</v>
      </c>
      <c r="O87" s="117">
        <f t="shared" si="15"/>
        <v>98100</v>
      </c>
      <c r="P87" s="117">
        <v>50000</v>
      </c>
      <c r="Q87" s="117">
        <f t="shared" si="16"/>
        <v>367100</v>
      </c>
    </row>
    <row r="88" spans="1:17" ht="20.05" customHeight="1" x14ac:dyDescent="0.7">
      <c r="A88" s="119">
        <v>82</v>
      </c>
      <c r="B88" s="144">
        <v>30</v>
      </c>
      <c r="C88" s="60">
        <v>10</v>
      </c>
      <c r="D88" s="124" t="s">
        <v>330</v>
      </c>
      <c r="E88" s="124" t="s">
        <v>331</v>
      </c>
      <c r="F88" s="124" t="s">
        <v>67</v>
      </c>
      <c r="G88" s="60" t="s">
        <v>332</v>
      </c>
      <c r="H88" s="125">
        <v>1100</v>
      </c>
      <c r="I88" s="127">
        <v>700</v>
      </c>
      <c r="J88" s="126">
        <f t="shared" si="13"/>
        <v>-400</v>
      </c>
      <c r="K88" s="127">
        <v>83.01</v>
      </c>
      <c r="L88" s="127">
        <v>83.01</v>
      </c>
      <c r="M88" s="138" t="s">
        <v>333</v>
      </c>
      <c r="N88" s="117">
        <f t="shared" si="14"/>
        <v>350000</v>
      </c>
      <c r="O88" s="117">
        <f t="shared" si="15"/>
        <v>24903</v>
      </c>
      <c r="P88" s="117">
        <v>50000</v>
      </c>
      <c r="Q88" s="117">
        <f t="shared" si="16"/>
        <v>374903</v>
      </c>
    </row>
    <row r="89" spans="1:17" ht="20.05" customHeight="1" x14ac:dyDescent="0.7">
      <c r="A89" s="119">
        <v>83</v>
      </c>
      <c r="B89" s="144">
        <v>32</v>
      </c>
      <c r="C89" s="60">
        <v>10</v>
      </c>
      <c r="D89" s="124" t="s">
        <v>334</v>
      </c>
      <c r="E89" s="124" t="s">
        <v>335</v>
      </c>
      <c r="F89" s="124" t="s">
        <v>67</v>
      </c>
      <c r="G89" s="60">
        <v>60</v>
      </c>
      <c r="H89" s="125">
        <v>1299</v>
      </c>
      <c r="I89" s="126">
        <f>H89</f>
        <v>1299</v>
      </c>
      <c r="J89" s="126">
        <f t="shared" si="13"/>
        <v>0</v>
      </c>
      <c r="K89" s="127">
        <v>475</v>
      </c>
      <c r="L89" s="127">
        <v>169.5</v>
      </c>
      <c r="M89" s="138" t="s">
        <v>329</v>
      </c>
      <c r="N89" s="117">
        <f t="shared" si="14"/>
        <v>649500</v>
      </c>
      <c r="O89" s="117">
        <f t="shared" si="15"/>
        <v>142500</v>
      </c>
      <c r="P89" s="117">
        <v>50000</v>
      </c>
      <c r="Q89" s="117">
        <f t="shared" si="16"/>
        <v>792000</v>
      </c>
    </row>
    <row r="90" spans="1:17" ht="20.05" customHeight="1" x14ac:dyDescent="0.7">
      <c r="A90" s="119">
        <v>84</v>
      </c>
      <c r="B90" s="144">
        <v>34</v>
      </c>
      <c r="C90" s="60">
        <v>10</v>
      </c>
      <c r="D90" s="124" t="s">
        <v>336</v>
      </c>
      <c r="E90" s="124" t="s">
        <v>337</v>
      </c>
      <c r="F90" s="124" t="s">
        <v>67</v>
      </c>
      <c r="G90" s="60">
        <v>54</v>
      </c>
      <c r="H90" s="125">
        <v>759</v>
      </c>
      <c r="I90" s="125">
        <v>759</v>
      </c>
      <c r="J90" s="126">
        <f t="shared" si="13"/>
        <v>0</v>
      </c>
      <c r="K90" s="127">
        <v>393</v>
      </c>
      <c r="L90" s="127">
        <v>231.38</v>
      </c>
      <c r="M90" s="138" t="s">
        <v>338</v>
      </c>
      <c r="N90" s="117">
        <f t="shared" si="14"/>
        <v>379500</v>
      </c>
      <c r="O90" s="117">
        <f t="shared" si="15"/>
        <v>117900</v>
      </c>
      <c r="P90" s="117">
        <v>50000</v>
      </c>
      <c r="Q90" s="117">
        <f t="shared" si="16"/>
        <v>497400</v>
      </c>
    </row>
    <row r="91" spans="1:17" ht="20.05" customHeight="1" x14ac:dyDescent="0.7">
      <c r="A91" s="119">
        <v>85</v>
      </c>
      <c r="B91" s="136">
        <v>52</v>
      </c>
      <c r="C91" s="60">
        <v>10</v>
      </c>
      <c r="D91" s="124" t="s">
        <v>339</v>
      </c>
      <c r="E91" s="124" t="s">
        <v>340</v>
      </c>
      <c r="F91" s="124" t="s">
        <v>341</v>
      </c>
      <c r="G91" s="60">
        <v>31</v>
      </c>
      <c r="H91" s="125">
        <v>983</v>
      </c>
      <c r="I91" s="127">
        <v>843</v>
      </c>
      <c r="J91" s="126">
        <f t="shared" si="13"/>
        <v>-140</v>
      </c>
      <c r="K91" s="127">
        <v>317</v>
      </c>
      <c r="L91" s="127">
        <v>103</v>
      </c>
      <c r="M91" s="138" t="s">
        <v>342</v>
      </c>
      <c r="N91" s="117">
        <f t="shared" si="14"/>
        <v>421500</v>
      </c>
      <c r="O91" s="117">
        <f t="shared" si="15"/>
        <v>95100</v>
      </c>
      <c r="P91" s="117">
        <v>50000</v>
      </c>
      <c r="Q91" s="117">
        <f t="shared" si="16"/>
        <v>516600</v>
      </c>
    </row>
    <row r="92" spans="1:17" ht="20.05" customHeight="1" x14ac:dyDescent="0.7">
      <c r="A92" s="119">
        <v>86</v>
      </c>
      <c r="B92" s="136">
        <v>53</v>
      </c>
      <c r="C92" s="60">
        <v>10</v>
      </c>
      <c r="D92" s="124" t="s">
        <v>164</v>
      </c>
      <c r="E92" s="124" t="s">
        <v>343</v>
      </c>
      <c r="F92" s="124" t="s">
        <v>133</v>
      </c>
      <c r="G92" s="60">
        <v>85</v>
      </c>
      <c r="H92" s="125">
        <v>600</v>
      </c>
      <c r="I92" s="125">
        <v>600</v>
      </c>
      <c r="J92" s="126">
        <f t="shared" si="13"/>
        <v>0</v>
      </c>
      <c r="K92" s="127">
        <v>203</v>
      </c>
      <c r="L92" s="127">
        <v>82.94</v>
      </c>
      <c r="M92" s="138" t="s">
        <v>344</v>
      </c>
      <c r="N92" s="117">
        <f t="shared" si="14"/>
        <v>300000</v>
      </c>
      <c r="O92" s="117">
        <f t="shared" si="15"/>
        <v>60900</v>
      </c>
      <c r="P92" s="117">
        <v>50000</v>
      </c>
      <c r="Q92" s="117">
        <f t="shared" si="16"/>
        <v>360900</v>
      </c>
    </row>
    <row r="93" spans="1:17" ht="20.05" customHeight="1" x14ac:dyDescent="0.7">
      <c r="A93" s="119">
        <v>87</v>
      </c>
      <c r="B93" s="136">
        <v>59</v>
      </c>
      <c r="C93" s="60">
        <v>10</v>
      </c>
      <c r="D93" s="124" t="s">
        <v>345</v>
      </c>
      <c r="E93" s="124" t="s">
        <v>346</v>
      </c>
      <c r="F93" s="124" t="s">
        <v>67</v>
      </c>
      <c r="G93" s="60">
        <v>91</v>
      </c>
      <c r="H93" s="125">
        <v>500</v>
      </c>
      <c r="I93" s="125">
        <v>500</v>
      </c>
      <c r="J93" s="126">
        <f t="shared" si="13"/>
        <v>0</v>
      </c>
      <c r="K93" s="127">
        <v>124</v>
      </c>
      <c r="L93" s="127">
        <v>21.86</v>
      </c>
      <c r="M93" s="138" t="s">
        <v>347</v>
      </c>
      <c r="N93" s="117">
        <f t="shared" si="14"/>
        <v>250000</v>
      </c>
      <c r="O93" s="117">
        <f t="shared" si="15"/>
        <v>37200</v>
      </c>
      <c r="P93" s="117">
        <v>50000</v>
      </c>
      <c r="Q93" s="117">
        <f t="shared" si="16"/>
        <v>287200</v>
      </c>
    </row>
    <row r="94" spans="1:17" ht="20.05" customHeight="1" x14ac:dyDescent="0.7">
      <c r="A94" s="119">
        <v>88</v>
      </c>
      <c r="B94" s="136">
        <v>64</v>
      </c>
      <c r="C94" s="60">
        <v>10</v>
      </c>
      <c r="D94" s="124" t="s">
        <v>348</v>
      </c>
      <c r="E94" s="124" t="s">
        <v>349</v>
      </c>
      <c r="F94" s="124" t="s">
        <v>350</v>
      </c>
      <c r="G94" s="60">
        <v>93</v>
      </c>
      <c r="H94" s="125">
        <v>624</v>
      </c>
      <c r="I94" s="125">
        <v>624</v>
      </c>
      <c r="J94" s="126">
        <f t="shared" si="13"/>
        <v>0</v>
      </c>
      <c r="K94" s="127">
        <v>365</v>
      </c>
      <c r="L94" s="127">
        <v>193.4</v>
      </c>
      <c r="M94" s="138" t="s">
        <v>351</v>
      </c>
      <c r="N94" s="117">
        <f t="shared" si="14"/>
        <v>312000</v>
      </c>
      <c r="O94" s="117">
        <f t="shared" si="15"/>
        <v>109500</v>
      </c>
      <c r="P94" s="117">
        <v>50000</v>
      </c>
      <c r="Q94" s="117">
        <f t="shared" si="16"/>
        <v>421500</v>
      </c>
    </row>
    <row r="95" spans="1:17" ht="20.05" customHeight="1" x14ac:dyDescent="0.7">
      <c r="A95" s="119">
        <v>89</v>
      </c>
      <c r="B95" s="136">
        <v>65</v>
      </c>
      <c r="C95" s="60">
        <v>10</v>
      </c>
      <c r="D95" s="124" t="s">
        <v>352</v>
      </c>
      <c r="E95" s="124" t="s">
        <v>353</v>
      </c>
      <c r="F95" s="124" t="s">
        <v>67</v>
      </c>
      <c r="G95" s="60">
        <v>89</v>
      </c>
      <c r="H95" s="125">
        <v>900</v>
      </c>
      <c r="I95" s="125">
        <v>900</v>
      </c>
      <c r="J95" s="126">
        <f t="shared" si="13"/>
        <v>0</v>
      </c>
      <c r="K95" s="127">
        <v>340</v>
      </c>
      <c r="L95" s="127">
        <v>121.25</v>
      </c>
      <c r="M95" s="138" t="s">
        <v>354</v>
      </c>
      <c r="N95" s="117">
        <f t="shared" si="14"/>
        <v>450000</v>
      </c>
      <c r="O95" s="117">
        <f t="shared" si="15"/>
        <v>102000</v>
      </c>
      <c r="P95" s="117">
        <v>50000</v>
      </c>
      <c r="Q95" s="117">
        <f t="shared" si="16"/>
        <v>552000</v>
      </c>
    </row>
    <row r="96" spans="1:17" ht="20.05" customHeight="1" x14ac:dyDescent="0.7">
      <c r="A96" s="119">
        <v>90</v>
      </c>
      <c r="B96" s="136">
        <v>67</v>
      </c>
      <c r="C96" s="60">
        <v>10</v>
      </c>
      <c r="D96" s="124" t="s">
        <v>355</v>
      </c>
      <c r="E96" s="124" t="s">
        <v>356</v>
      </c>
      <c r="F96" s="124" t="s">
        <v>67</v>
      </c>
      <c r="G96" s="60">
        <v>95</v>
      </c>
      <c r="H96" s="125">
        <v>830</v>
      </c>
      <c r="I96" s="127">
        <v>877</v>
      </c>
      <c r="J96" s="126">
        <f t="shared" si="13"/>
        <v>47</v>
      </c>
      <c r="K96" s="127">
        <v>274</v>
      </c>
      <c r="L96" s="127">
        <v>70</v>
      </c>
      <c r="M96" s="138" t="s">
        <v>357</v>
      </c>
      <c r="N96" s="117">
        <f t="shared" si="14"/>
        <v>438500</v>
      </c>
      <c r="O96" s="117">
        <f t="shared" si="15"/>
        <v>82200</v>
      </c>
      <c r="P96" s="117">
        <v>50000</v>
      </c>
      <c r="Q96" s="117">
        <f t="shared" si="16"/>
        <v>520700</v>
      </c>
    </row>
    <row r="97" spans="1:17" ht="20.05" customHeight="1" x14ac:dyDescent="0.7">
      <c r="A97" s="119">
        <v>91</v>
      </c>
      <c r="B97" s="136">
        <v>19</v>
      </c>
      <c r="C97" s="60">
        <v>10</v>
      </c>
      <c r="D97" s="124" t="s">
        <v>358</v>
      </c>
      <c r="E97" s="124" t="s">
        <v>359</v>
      </c>
      <c r="F97" s="124" t="s">
        <v>67</v>
      </c>
      <c r="G97" s="60">
        <v>51</v>
      </c>
      <c r="H97" s="125">
        <v>600</v>
      </c>
      <c r="I97" s="125">
        <v>600</v>
      </c>
      <c r="J97" s="126">
        <f t="shared" si="13"/>
        <v>0</v>
      </c>
      <c r="K97" s="127">
        <v>232</v>
      </c>
      <c r="L97" s="127">
        <v>91.51</v>
      </c>
      <c r="M97" s="138" t="s">
        <v>360</v>
      </c>
      <c r="N97" s="117">
        <f t="shared" si="14"/>
        <v>300000</v>
      </c>
      <c r="O97" s="117">
        <f t="shared" si="15"/>
        <v>69600</v>
      </c>
      <c r="P97" s="117">
        <v>50000</v>
      </c>
      <c r="Q97" s="117">
        <f t="shared" si="16"/>
        <v>369600</v>
      </c>
    </row>
    <row r="98" spans="1:17" ht="20.05" customHeight="1" x14ac:dyDescent="0.7">
      <c r="A98" s="119">
        <v>92</v>
      </c>
      <c r="B98" s="144">
        <v>31</v>
      </c>
      <c r="C98" s="60">
        <v>10</v>
      </c>
      <c r="D98" s="124" t="s">
        <v>361</v>
      </c>
      <c r="E98" s="124" t="s">
        <v>362</v>
      </c>
      <c r="F98" s="124" t="s">
        <v>67</v>
      </c>
      <c r="G98" s="60">
        <v>14</v>
      </c>
      <c r="H98" s="125">
        <v>1100</v>
      </c>
      <c r="I98" s="127">
        <v>700</v>
      </c>
      <c r="J98" s="126">
        <f t="shared" si="13"/>
        <v>-400</v>
      </c>
      <c r="K98" s="127">
        <v>254</v>
      </c>
      <c r="L98" s="127">
        <v>31.98</v>
      </c>
      <c r="M98" s="138" t="s">
        <v>363</v>
      </c>
      <c r="N98" s="117">
        <f t="shared" si="14"/>
        <v>350000</v>
      </c>
      <c r="O98" s="117">
        <f t="shared" si="15"/>
        <v>76200</v>
      </c>
      <c r="P98" s="117">
        <v>50000</v>
      </c>
      <c r="Q98" s="117">
        <f t="shared" si="16"/>
        <v>426200</v>
      </c>
    </row>
    <row r="99" spans="1:17" ht="20.05" customHeight="1" x14ac:dyDescent="0.7">
      <c r="A99" s="119">
        <v>93</v>
      </c>
      <c r="B99" s="144">
        <v>33</v>
      </c>
      <c r="C99" s="60">
        <v>10</v>
      </c>
      <c r="D99" s="124" t="s">
        <v>364</v>
      </c>
      <c r="E99" s="124" t="s">
        <v>365</v>
      </c>
      <c r="F99" s="124" t="s">
        <v>67</v>
      </c>
      <c r="G99" s="60">
        <v>18</v>
      </c>
      <c r="H99" s="125">
        <v>945</v>
      </c>
      <c r="I99" s="125">
        <v>945</v>
      </c>
      <c r="J99" s="126">
        <f t="shared" si="13"/>
        <v>0</v>
      </c>
      <c r="K99" s="127">
        <v>427</v>
      </c>
      <c r="L99" s="127">
        <v>172.53</v>
      </c>
      <c r="M99" s="138" t="s">
        <v>366</v>
      </c>
      <c r="N99" s="117">
        <f t="shared" si="14"/>
        <v>472500</v>
      </c>
      <c r="O99" s="117">
        <f t="shared" si="15"/>
        <v>128100</v>
      </c>
      <c r="P99" s="117">
        <v>50000</v>
      </c>
      <c r="Q99" s="117">
        <f t="shared" si="16"/>
        <v>600600</v>
      </c>
    </row>
    <row r="100" spans="1:17" ht="20.05" customHeight="1" x14ac:dyDescent="0.6">
      <c r="A100" s="130"/>
      <c r="B100" s="130"/>
      <c r="C100" s="130"/>
      <c r="D100" s="133"/>
      <c r="E100" s="133"/>
      <c r="F100" s="133"/>
      <c r="G100" s="130"/>
      <c r="H100" s="140">
        <f>SUM(H63:H99)</f>
        <v>27241</v>
      </c>
      <c r="I100" s="140">
        <f t="shared" ref="I100:P100" si="17">SUM(I63:I99)</f>
        <v>26497</v>
      </c>
      <c r="J100" s="140">
        <f t="shared" si="17"/>
        <v>-744</v>
      </c>
      <c r="K100" s="140">
        <f t="shared" si="17"/>
        <v>11353.01</v>
      </c>
      <c r="L100" s="140">
        <f t="shared" si="17"/>
        <v>4356.3499999999995</v>
      </c>
      <c r="M100" s="140">
        <f t="shared" si="17"/>
        <v>0</v>
      </c>
      <c r="N100" s="140">
        <f t="shared" si="17"/>
        <v>13248500</v>
      </c>
      <c r="O100" s="140">
        <f t="shared" si="17"/>
        <v>3405903</v>
      </c>
      <c r="P100" s="140">
        <f t="shared" si="17"/>
        <v>1850000</v>
      </c>
      <c r="Q100" s="140">
        <f>SUM(Q63:Q99)</f>
        <v>16654403</v>
      </c>
    </row>
    <row r="101" spans="1:17" s="141" customFormat="1" ht="20.05" customHeight="1" x14ac:dyDescent="0.7">
      <c r="A101" s="119">
        <v>94</v>
      </c>
      <c r="B101" s="144">
        <v>35</v>
      </c>
      <c r="C101" s="60">
        <v>12</v>
      </c>
      <c r="D101" s="124" t="s">
        <v>367</v>
      </c>
      <c r="E101" s="124" t="s">
        <v>368</v>
      </c>
      <c r="F101" s="124" t="s">
        <v>67</v>
      </c>
      <c r="G101" s="60">
        <v>52</v>
      </c>
      <c r="H101" s="125">
        <v>380</v>
      </c>
      <c r="I101" s="125">
        <v>380</v>
      </c>
      <c r="J101" s="126">
        <f t="shared" ref="J101:J110" si="18">I101-H101</f>
        <v>0</v>
      </c>
      <c r="K101" s="127">
        <v>312</v>
      </c>
      <c r="L101" s="127">
        <v>62.81</v>
      </c>
      <c r="M101" s="138" t="s">
        <v>369</v>
      </c>
      <c r="N101" s="117">
        <f t="shared" ref="N101:N140" si="19">I101*P101/100</f>
        <v>190000</v>
      </c>
      <c r="O101" s="117">
        <f t="shared" ref="O101:O140" si="20">K101*300</f>
        <v>93600</v>
      </c>
      <c r="P101" s="117">
        <v>50000</v>
      </c>
      <c r="Q101" s="117">
        <f t="shared" ref="Q101:Q140" si="21">N101+O101</f>
        <v>283600</v>
      </c>
    </row>
    <row r="102" spans="1:17" ht="20.05" customHeight="1" x14ac:dyDescent="0.7">
      <c r="A102" s="119">
        <v>95</v>
      </c>
      <c r="B102" s="144">
        <v>36</v>
      </c>
      <c r="C102" s="60">
        <v>12</v>
      </c>
      <c r="D102" s="124" t="s">
        <v>370</v>
      </c>
      <c r="E102" s="124" t="s">
        <v>371</v>
      </c>
      <c r="F102" s="124" t="s">
        <v>67</v>
      </c>
      <c r="G102" s="60">
        <v>70</v>
      </c>
      <c r="H102" s="125">
        <v>1140</v>
      </c>
      <c r="I102" s="127">
        <v>1700</v>
      </c>
      <c r="J102" s="126">
        <f t="shared" si="18"/>
        <v>560</v>
      </c>
      <c r="K102" s="127">
        <v>862</v>
      </c>
      <c r="L102" s="127">
        <v>382.5</v>
      </c>
      <c r="M102" s="138" t="s">
        <v>372</v>
      </c>
      <c r="N102" s="117">
        <f t="shared" si="19"/>
        <v>850000</v>
      </c>
      <c r="O102" s="117">
        <f t="shared" si="20"/>
        <v>258600</v>
      </c>
      <c r="P102" s="117">
        <v>50000</v>
      </c>
      <c r="Q102" s="117">
        <f t="shared" si="21"/>
        <v>1108600</v>
      </c>
    </row>
    <row r="103" spans="1:17" ht="20.05" customHeight="1" x14ac:dyDescent="0.7">
      <c r="A103" s="119">
        <v>96</v>
      </c>
      <c r="B103" s="144">
        <v>37</v>
      </c>
      <c r="C103" s="60">
        <v>12</v>
      </c>
      <c r="D103" s="124" t="s">
        <v>373</v>
      </c>
      <c r="E103" s="124" t="s">
        <v>374</v>
      </c>
      <c r="F103" s="124" t="s">
        <v>67</v>
      </c>
      <c r="G103" s="60">
        <v>12</v>
      </c>
      <c r="H103" s="125">
        <v>700</v>
      </c>
      <c r="I103" s="125">
        <v>700</v>
      </c>
      <c r="J103" s="126">
        <f t="shared" si="18"/>
        <v>0</v>
      </c>
      <c r="K103" s="127">
        <v>269</v>
      </c>
      <c r="L103" s="127">
        <v>78.989999999999995</v>
      </c>
      <c r="M103" s="138" t="s">
        <v>375</v>
      </c>
      <c r="N103" s="117">
        <f t="shared" si="19"/>
        <v>350000</v>
      </c>
      <c r="O103" s="117">
        <f t="shared" si="20"/>
        <v>80700</v>
      </c>
      <c r="P103" s="117">
        <v>50000</v>
      </c>
      <c r="Q103" s="117">
        <f t="shared" si="21"/>
        <v>430700</v>
      </c>
    </row>
    <row r="104" spans="1:17" ht="20.05" customHeight="1" x14ac:dyDescent="0.7">
      <c r="A104" s="119">
        <v>97</v>
      </c>
      <c r="B104" s="144">
        <v>38</v>
      </c>
      <c r="C104" s="60">
        <v>12</v>
      </c>
      <c r="D104" s="124" t="s">
        <v>376</v>
      </c>
      <c r="E104" s="124" t="s">
        <v>377</v>
      </c>
      <c r="F104" s="124" t="s">
        <v>67</v>
      </c>
      <c r="G104" s="60">
        <v>68</v>
      </c>
      <c r="H104" s="125">
        <v>593</v>
      </c>
      <c r="I104" s="125">
        <v>593</v>
      </c>
      <c r="J104" s="126">
        <f t="shared" si="18"/>
        <v>0</v>
      </c>
      <c r="K104" s="127">
        <v>354</v>
      </c>
      <c r="L104" s="127">
        <v>158.97999999999999</v>
      </c>
      <c r="M104" s="138" t="s">
        <v>156</v>
      </c>
      <c r="N104" s="117">
        <f t="shared" si="19"/>
        <v>296500</v>
      </c>
      <c r="O104" s="117">
        <f t="shared" si="20"/>
        <v>106200</v>
      </c>
      <c r="P104" s="117">
        <v>50000</v>
      </c>
      <c r="Q104" s="117">
        <f t="shared" si="21"/>
        <v>402700</v>
      </c>
    </row>
    <row r="105" spans="1:17" ht="20.05" customHeight="1" x14ac:dyDescent="0.7">
      <c r="A105" s="119">
        <v>98</v>
      </c>
      <c r="B105" s="144">
        <v>39</v>
      </c>
      <c r="C105" s="60">
        <v>12</v>
      </c>
      <c r="D105" s="124" t="s">
        <v>378</v>
      </c>
      <c r="E105" s="124" t="s">
        <v>379</v>
      </c>
      <c r="F105" s="124" t="s">
        <v>67</v>
      </c>
      <c r="G105" s="60" t="s">
        <v>380</v>
      </c>
      <c r="H105" s="125">
        <v>772</v>
      </c>
      <c r="I105" s="125">
        <v>772</v>
      </c>
      <c r="J105" s="126">
        <f t="shared" si="18"/>
        <v>0</v>
      </c>
      <c r="K105" s="127">
        <v>285</v>
      </c>
      <c r="L105" s="127">
        <v>96.15</v>
      </c>
      <c r="M105" s="138" t="s">
        <v>381</v>
      </c>
      <c r="N105" s="117">
        <f t="shared" si="19"/>
        <v>386000</v>
      </c>
      <c r="O105" s="117">
        <f t="shared" si="20"/>
        <v>85500</v>
      </c>
      <c r="P105" s="117">
        <v>50000</v>
      </c>
      <c r="Q105" s="117">
        <f t="shared" si="21"/>
        <v>471500</v>
      </c>
    </row>
    <row r="106" spans="1:17" ht="20.05" customHeight="1" x14ac:dyDescent="0.7">
      <c r="A106" s="119">
        <v>99</v>
      </c>
      <c r="B106" s="144">
        <v>40</v>
      </c>
      <c r="C106" s="60">
        <v>12</v>
      </c>
      <c r="D106" s="124" t="s">
        <v>382</v>
      </c>
      <c r="E106" s="124" t="s">
        <v>383</v>
      </c>
      <c r="F106" s="124" t="s">
        <v>67</v>
      </c>
      <c r="G106" s="60">
        <v>48</v>
      </c>
      <c r="H106" s="125">
        <v>500</v>
      </c>
      <c r="I106" s="127">
        <v>573</v>
      </c>
      <c r="J106" s="126">
        <f t="shared" si="18"/>
        <v>73</v>
      </c>
      <c r="K106" s="127">
        <v>261</v>
      </c>
      <c r="L106" s="127">
        <v>121.69</v>
      </c>
      <c r="M106" s="138" t="s">
        <v>225</v>
      </c>
      <c r="N106" s="117">
        <f t="shared" si="19"/>
        <v>286500</v>
      </c>
      <c r="O106" s="117">
        <f t="shared" si="20"/>
        <v>78300</v>
      </c>
      <c r="P106" s="117">
        <v>50000</v>
      </c>
      <c r="Q106" s="117">
        <f t="shared" si="21"/>
        <v>364800</v>
      </c>
    </row>
    <row r="107" spans="1:17" ht="20.05" customHeight="1" x14ac:dyDescent="0.7">
      <c r="A107" s="119">
        <v>100</v>
      </c>
      <c r="B107" s="144">
        <v>41</v>
      </c>
      <c r="C107" s="60">
        <v>12</v>
      </c>
      <c r="D107" s="124" t="s">
        <v>384</v>
      </c>
      <c r="E107" s="124" t="s">
        <v>385</v>
      </c>
      <c r="F107" s="124" t="s">
        <v>67</v>
      </c>
      <c r="G107" s="60">
        <v>46</v>
      </c>
      <c r="H107" s="125">
        <v>723</v>
      </c>
      <c r="I107" s="125">
        <v>723</v>
      </c>
      <c r="J107" s="126">
        <f t="shared" si="18"/>
        <v>0</v>
      </c>
      <c r="K107" s="127">
        <v>340</v>
      </c>
      <c r="L107" s="127">
        <v>63.2</v>
      </c>
      <c r="M107" s="138" t="s">
        <v>381</v>
      </c>
      <c r="N107" s="117">
        <f t="shared" si="19"/>
        <v>433800</v>
      </c>
      <c r="O107" s="117">
        <f t="shared" si="20"/>
        <v>102000</v>
      </c>
      <c r="P107" s="117">
        <v>60000</v>
      </c>
      <c r="Q107" s="117">
        <f t="shared" si="21"/>
        <v>535800</v>
      </c>
    </row>
    <row r="108" spans="1:17" ht="20.05" customHeight="1" x14ac:dyDescent="0.7">
      <c r="A108" s="119">
        <v>101</v>
      </c>
      <c r="B108" s="144">
        <v>42</v>
      </c>
      <c r="C108" s="60">
        <v>12</v>
      </c>
      <c r="D108" s="124" t="s">
        <v>386</v>
      </c>
      <c r="E108" s="124" t="s">
        <v>387</v>
      </c>
      <c r="F108" s="124" t="s">
        <v>67</v>
      </c>
      <c r="G108" s="60">
        <v>72</v>
      </c>
      <c r="H108" s="125">
        <v>725</v>
      </c>
      <c r="I108" s="125">
        <v>725</v>
      </c>
      <c r="J108" s="126">
        <f t="shared" si="18"/>
        <v>0</v>
      </c>
      <c r="K108" s="127">
        <v>315</v>
      </c>
      <c r="L108" s="127">
        <v>65.34</v>
      </c>
      <c r="M108" s="138" t="s">
        <v>388</v>
      </c>
      <c r="N108" s="117">
        <f t="shared" si="19"/>
        <v>362500</v>
      </c>
      <c r="O108" s="117">
        <f t="shared" si="20"/>
        <v>94500</v>
      </c>
      <c r="P108" s="117">
        <v>50000</v>
      </c>
      <c r="Q108" s="117">
        <f t="shared" si="21"/>
        <v>457000</v>
      </c>
    </row>
    <row r="109" spans="1:17" ht="20.05" customHeight="1" x14ac:dyDescent="0.7">
      <c r="A109" s="119">
        <v>102</v>
      </c>
      <c r="B109" s="144">
        <v>43</v>
      </c>
      <c r="C109" s="60">
        <v>12</v>
      </c>
      <c r="D109" s="124" t="s">
        <v>389</v>
      </c>
      <c r="E109" s="124" t="s">
        <v>390</v>
      </c>
      <c r="F109" s="124" t="s">
        <v>67</v>
      </c>
      <c r="G109" s="60" t="s">
        <v>391</v>
      </c>
      <c r="H109" s="125">
        <v>217</v>
      </c>
      <c r="I109" s="125">
        <v>217</v>
      </c>
      <c r="J109" s="126">
        <f t="shared" si="18"/>
        <v>0</v>
      </c>
      <c r="K109" s="127">
        <v>150</v>
      </c>
      <c r="L109" s="127">
        <v>47.14</v>
      </c>
      <c r="M109" s="138" t="s">
        <v>392</v>
      </c>
      <c r="N109" s="117">
        <f t="shared" si="19"/>
        <v>108500</v>
      </c>
      <c r="O109" s="117">
        <f t="shared" si="20"/>
        <v>45000</v>
      </c>
      <c r="P109" s="117">
        <v>50000</v>
      </c>
      <c r="Q109" s="117">
        <f t="shared" si="21"/>
        <v>153500</v>
      </c>
    </row>
    <row r="110" spans="1:17" ht="20.05" customHeight="1" x14ac:dyDescent="0.7">
      <c r="A110" s="119">
        <v>103</v>
      </c>
      <c r="B110" s="136">
        <v>44</v>
      </c>
      <c r="C110" s="60">
        <v>12</v>
      </c>
      <c r="D110" s="124" t="s">
        <v>393</v>
      </c>
      <c r="E110" s="124" t="s">
        <v>394</v>
      </c>
      <c r="F110" s="124" t="s">
        <v>67</v>
      </c>
      <c r="G110" s="60">
        <v>39</v>
      </c>
      <c r="H110" s="125">
        <v>600</v>
      </c>
      <c r="I110" s="127">
        <v>658</v>
      </c>
      <c r="J110" s="126">
        <f t="shared" si="18"/>
        <v>58</v>
      </c>
      <c r="K110" s="127">
        <v>271</v>
      </c>
      <c r="L110" s="127">
        <v>92.01</v>
      </c>
      <c r="M110" s="138" t="s">
        <v>395</v>
      </c>
      <c r="N110" s="117">
        <f t="shared" si="19"/>
        <v>329000</v>
      </c>
      <c r="O110" s="117">
        <f t="shared" si="20"/>
        <v>81300</v>
      </c>
      <c r="P110" s="117">
        <v>50000</v>
      </c>
      <c r="Q110" s="117">
        <f t="shared" si="21"/>
        <v>410300</v>
      </c>
    </row>
    <row r="111" spans="1:17" ht="20.05" customHeight="1" x14ac:dyDescent="0.7">
      <c r="A111" s="119">
        <v>104</v>
      </c>
      <c r="B111" s="136">
        <v>45</v>
      </c>
      <c r="C111" s="60">
        <v>12</v>
      </c>
      <c r="D111" s="124" t="s">
        <v>396</v>
      </c>
      <c r="E111" s="124" t="s">
        <v>397</v>
      </c>
      <c r="F111" s="124" t="s">
        <v>67</v>
      </c>
      <c r="G111" s="60" t="s">
        <v>398</v>
      </c>
      <c r="H111" s="125">
        <v>1290</v>
      </c>
      <c r="I111" s="127">
        <v>414</v>
      </c>
      <c r="J111" s="126"/>
      <c r="K111" s="127">
        <v>230</v>
      </c>
      <c r="L111" s="127">
        <v>25.47</v>
      </c>
      <c r="M111" s="138" t="s">
        <v>399</v>
      </c>
      <c r="N111" s="117">
        <f t="shared" si="19"/>
        <v>207000</v>
      </c>
      <c r="O111" s="117">
        <f t="shared" si="20"/>
        <v>69000</v>
      </c>
      <c r="P111" s="117">
        <v>50000</v>
      </c>
      <c r="Q111" s="117">
        <f t="shared" si="21"/>
        <v>276000</v>
      </c>
    </row>
    <row r="112" spans="1:17" ht="20.05" customHeight="1" x14ac:dyDescent="0.7">
      <c r="A112" s="119">
        <v>105</v>
      </c>
      <c r="B112" s="136">
        <v>46</v>
      </c>
      <c r="C112" s="60">
        <v>12</v>
      </c>
      <c r="D112" s="124" t="s">
        <v>400</v>
      </c>
      <c r="E112" s="124" t="s">
        <v>401</v>
      </c>
      <c r="F112" s="124" t="s">
        <v>67</v>
      </c>
      <c r="G112" s="60">
        <v>35</v>
      </c>
      <c r="H112" s="125">
        <v>1290</v>
      </c>
      <c r="I112" s="127">
        <v>876</v>
      </c>
      <c r="J112" s="126"/>
      <c r="K112" s="127">
        <v>228</v>
      </c>
      <c r="L112" s="127">
        <v>84.42</v>
      </c>
      <c r="M112" s="138" t="s">
        <v>399</v>
      </c>
      <c r="N112" s="117">
        <f t="shared" si="19"/>
        <v>438000</v>
      </c>
      <c r="O112" s="117">
        <f t="shared" si="20"/>
        <v>68400</v>
      </c>
      <c r="P112" s="117">
        <v>50000</v>
      </c>
      <c r="Q112" s="117">
        <f t="shared" si="21"/>
        <v>506400</v>
      </c>
    </row>
    <row r="113" spans="1:17" ht="20.05" customHeight="1" x14ac:dyDescent="0.7">
      <c r="A113" s="119">
        <v>106</v>
      </c>
      <c r="B113" s="136">
        <v>47</v>
      </c>
      <c r="C113" s="60">
        <v>12</v>
      </c>
      <c r="D113" s="124" t="s">
        <v>402</v>
      </c>
      <c r="E113" s="124" t="s">
        <v>403</v>
      </c>
      <c r="F113" s="124" t="s">
        <v>67</v>
      </c>
      <c r="G113" s="60">
        <v>37</v>
      </c>
      <c r="H113" s="125">
        <v>634</v>
      </c>
      <c r="I113" s="125">
        <v>634</v>
      </c>
      <c r="J113" s="126">
        <f t="shared" ref="J113:J124" si="22">I113-H113</f>
        <v>0</v>
      </c>
      <c r="K113" s="127">
        <v>353</v>
      </c>
      <c r="L113" s="127">
        <v>151.59</v>
      </c>
      <c r="M113" s="138" t="s">
        <v>404</v>
      </c>
      <c r="N113" s="117">
        <f t="shared" si="19"/>
        <v>317000</v>
      </c>
      <c r="O113" s="117">
        <f t="shared" si="20"/>
        <v>105900</v>
      </c>
      <c r="P113" s="117">
        <v>50000</v>
      </c>
      <c r="Q113" s="117">
        <f t="shared" si="21"/>
        <v>422900</v>
      </c>
    </row>
    <row r="114" spans="1:17" ht="20.05" customHeight="1" x14ac:dyDescent="0.7">
      <c r="A114" s="119">
        <v>107</v>
      </c>
      <c r="B114" s="60">
        <v>48</v>
      </c>
      <c r="C114" s="60">
        <v>12</v>
      </c>
      <c r="D114" s="124" t="s">
        <v>405</v>
      </c>
      <c r="E114" s="124" t="s">
        <v>406</v>
      </c>
      <c r="F114" s="124" t="s">
        <v>67</v>
      </c>
      <c r="G114" s="60" t="s">
        <v>407</v>
      </c>
      <c r="H114" s="125">
        <v>1116</v>
      </c>
      <c r="I114" s="127">
        <v>1071</v>
      </c>
      <c r="J114" s="126">
        <f t="shared" si="22"/>
        <v>-45</v>
      </c>
      <c r="K114" s="127">
        <v>790</v>
      </c>
      <c r="L114" s="127">
        <v>284.8</v>
      </c>
      <c r="M114" s="138" t="s">
        <v>408</v>
      </c>
      <c r="N114" s="117">
        <f t="shared" si="19"/>
        <v>642600</v>
      </c>
      <c r="O114" s="117">
        <f t="shared" si="20"/>
        <v>237000</v>
      </c>
      <c r="P114" s="117">
        <v>60000</v>
      </c>
      <c r="Q114" s="117">
        <f t="shared" si="21"/>
        <v>879600</v>
      </c>
    </row>
    <row r="115" spans="1:17" ht="20.05" customHeight="1" x14ac:dyDescent="0.7">
      <c r="A115" s="119">
        <v>108</v>
      </c>
      <c r="B115" s="60">
        <v>49</v>
      </c>
      <c r="C115" s="60">
        <v>12</v>
      </c>
      <c r="D115" s="124" t="s">
        <v>409</v>
      </c>
      <c r="E115" s="124" t="s">
        <v>410</v>
      </c>
      <c r="F115" s="124" t="s">
        <v>67</v>
      </c>
      <c r="G115" s="60" t="s">
        <v>411</v>
      </c>
      <c r="H115" s="125">
        <v>1000</v>
      </c>
      <c r="I115" s="127">
        <v>886</v>
      </c>
      <c r="J115" s="126">
        <f t="shared" si="22"/>
        <v>-114</v>
      </c>
      <c r="K115" s="127">
        <v>576</v>
      </c>
      <c r="L115" s="127">
        <v>194.04</v>
      </c>
      <c r="M115" s="138" t="s">
        <v>412</v>
      </c>
      <c r="N115" s="117">
        <f t="shared" si="19"/>
        <v>443000</v>
      </c>
      <c r="O115" s="117">
        <f t="shared" si="20"/>
        <v>172800</v>
      </c>
      <c r="P115" s="117">
        <v>50000</v>
      </c>
      <c r="Q115" s="117">
        <f t="shared" si="21"/>
        <v>615800</v>
      </c>
    </row>
    <row r="116" spans="1:17" ht="20.05" customHeight="1" x14ac:dyDescent="0.7">
      <c r="A116" s="119">
        <v>109</v>
      </c>
      <c r="B116" s="136">
        <v>50</v>
      </c>
      <c r="C116" s="60">
        <v>12</v>
      </c>
      <c r="D116" s="124" t="s">
        <v>413</v>
      </c>
      <c r="E116" s="124" t="s">
        <v>414</v>
      </c>
      <c r="F116" s="124" t="s">
        <v>67</v>
      </c>
      <c r="G116" s="60">
        <v>24</v>
      </c>
      <c r="H116" s="125">
        <v>684</v>
      </c>
      <c r="I116" s="127">
        <v>400</v>
      </c>
      <c r="J116" s="126">
        <f t="shared" si="22"/>
        <v>-284</v>
      </c>
      <c r="K116" s="127">
        <v>222</v>
      </c>
      <c r="L116" s="127">
        <v>88.78</v>
      </c>
      <c r="M116" s="138" t="s">
        <v>415</v>
      </c>
      <c r="N116" s="117">
        <f t="shared" si="19"/>
        <v>200000</v>
      </c>
      <c r="O116" s="117">
        <f t="shared" si="20"/>
        <v>66600</v>
      </c>
      <c r="P116" s="117">
        <v>50000</v>
      </c>
      <c r="Q116" s="117">
        <f t="shared" si="21"/>
        <v>266600</v>
      </c>
    </row>
    <row r="117" spans="1:17" ht="20.05" customHeight="1" x14ac:dyDescent="0.7">
      <c r="A117" s="119">
        <v>110</v>
      </c>
      <c r="B117" s="136">
        <v>51</v>
      </c>
      <c r="C117" s="60">
        <v>12</v>
      </c>
      <c r="D117" s="124" t="s">
        <v>298</v>
      </c>
      <c r="E117" s="124" t="s">
        <v>416</v>
      </c>
      <c r="F117" s="124" t="s">
        <v>67</v>
      </c>
      <c r="G117" s="60">
        <v>33</v>
      </c>
      <c r="H117" s="125">
        <v>597</v>
      </c>
      <c r="I117" s="125">
        <v>597</v>
      </c>
      <c r="J117" s="126">
        <f t="shared" si="22"/>
        <v>0</v>
      </c>
      <c r="K117" s="127">
        <v>448</v>
      </c>
      <c r="L117" s="127">
        <v>115.03</v>
      </c>
      <c r="M117" s="138" t="s">
        <v>417</v>
      </c>
      <c r="N117" s="117">
        <f t="shared" si="19"/>
        <v>298500</v>
      </c>
      <c r="O117" s="117">
        <f t="shared" si="20"/>
        <v>134400</v>
      </c>
      <c r="P117" s="117">
        <v>50000</v>
      </c>
      <c r="Q117" s="117">
        <f t="shared" si="21"/>
        <v>432900</v>
      </c>
    </row>
    <row r="118" spans="1:17" ht="20.05" customHeight="1" x14ac:dyDescent="0.7">
      <c r="A118" s="119">
        <v>111</v>
      </c>
      <c r="B118" s="136">
        <v>54</v>
      </c>
      <c r="C118" s="60">
        <v>12</v>
      </c>
      <c r="D118" s="124" t="s">
        <v>418</v>
      </c>
      <c r="E118" s="124" t="s">
        <v>419</v>
      </c>
      <c r="F118" s="124" t="s">
        <v>67</v>
      </c>
      <c r="G118" s="60" t="s">
        <v>420</v>
      </c>
      <c r="H118" s="125">
        <v>606</v>
      </c>
      <c r="I118" s="125">
        <v>606</v>
      </c>
      <c r="J118" s="126">
        <f t="shared" si="22"/>
        <v>0</v>
      </c>
      <c r="K118" s="127">
        <v>385</v>
      </c>
      <c r="L118" s="127">
        <v>167</v>
      </c>
      <c r="M118" s="138" t="s">
        <v>421</v>
      </c>
      <c r="N118" s="117">
        <f t="shared" si="19"/>
        <v>303000</v>
      </c>
      <c r="O118" s="117">
        <f t="shared" si="20"/>
        <v>115500</v>
      </c>
      <c r="P118" s="117">
        <v>50000</v>
      </c>
      <c r="Q118" s="117">
        <f t="shared" si="21"/>
        <v>418500</v>
      </c>
    </row>
    <row r="119" spans="1:17" ht="20.05" customHeight="1" x14ac:dyDescent="0.7">
      <c r="A119" s="119">
        <v>112</v>
      </c>
      <c r="B119" s="136">
        <v>55</v>
      </c>
      <c r="C119" s="60">
        <v>12</v>
      </c>
      <c r="D119" s="124" t="s">
        <v>422</v>
      </c>
      <c r="E119" s="124" t="s">
        <v>423</v>
      </c>
      <c r="F119" s="124" t="s">
        <v>67</v>
      </c>
      <c r="G119" s="60">
        <v>29</v>
      </c>
      <c r="H119" s="125">
        <v>546</v>
      </c>
      <c r="I119" s="125">
        <v>546</v>
      </c>
      <c r="J119" s="126">
        <f t="shared" si="22"/>
        <v>0</v>
      </c>
      <c r="K119" s="127">
        <v>289</v>
      </c>
      <c r="L119" s="127">
        <v>152.12</v>
      </c>
      <c r="M119" s="138" t="s">
        <v>421</v>
      </c>
      <c r="N119" s="117">
        <f t="shared" si="19"/>
        <v>273000</v>
      </c>
      <c r="O119" s="117">
        <f t="shared" si="20"/>
        <v>86700</v>
      </c>
      <c r="P119" s="117">
        <v>50000</v>
      </c>
      <c r="Q119" s="117">
        <f t="shared" si="21"/>
        <v>359700</v>
      </c>
    </row>
    <row r="120" spans="1:17" ht="20.05" customHeight="1" x14ac:dyDescent="0.7">
      <c r="A120" s="119">
        <v>113</v>
      </c>
      <c r="B120" s="136">
        <v>56</v>
      </c>
      <c r="C120" s="60">
        <v>12</v>
      </c>
      <c r="D120" s="124" t="s">
        <v>424</v>
      </c>
      <c r="E120" s="124" t="s">
        <v>425</v>
      </c>
      <c r="F120" s="124" t="s">
        <v>67</v>
      </c>
      <c r="G120" s="60">
        <v>27</v>
      </c>
      <c r="H120" s="125">
        <v>600</v>
      </c>
      <c r="I120" s="125">
        <v>600</v>
      </c>
      <c r="J120" s="126">
        <f t="shared" si="22"/>
        <v>0</v>
      </c>
      <c r="K120" s="127">
        <v>273</v>
      </c>
      <c r="L120" s="127">
        <v>187.94</v>
      </c>
      <c r="M120" s="138" t="s">
        <v>426</v>
      </c>
      <c r="N120" s="117">
        <f t="shared" si="19"/>
        <v>300000</v>
      </c>
      <c r="O120" s="117">
        <f t="shared" si="20"/>
        <v>81900</v>
      </c>
      <c r="P120" s="117">
        <v>50000</v>
      </c>
      <c r="Q120" s="117">
        <f t="shared" si="21"/>
        <v>381900</v>
      </c>
    </row>
    <row r="121" spans="1:17" ht="20.05" customHeight="1" x14ac:dyDescent="0.7">
      <c r="A121" s="119">
        <v>114</v>
      </c>
      <c r="B121" s="136">
        <v>57</v>
      </c>
      <c r="C121" s="60">
        <v>12</v>
      </c>
      <c r="D121" s="124" t="s">
        <v>427</v>
      </c>
      <c r="E121" s="124" t="s">
        <v>428</v>
      </c>
      <c r="F121" s="124" t="s">
        <v>67</v>
      </c>
      <c r="G121" s="60">
        <v>87</v>
      </c>
      <c r="H121" s="125">
        <v>895</v>
      </c>
      <c r="I121" s="125">
        <v>895</v>
      </c>
      <c r="J121" s="126">
        <f t="shared" si="22"/>
        <v>0</v>
      </c>
      <c r="K121" s="127">
        <v>278</v>
      </c>
      <c r="L121" s="127">
        <v>56.37</v>
      </c>
      <c r="M121" s="138" t="s">
        <v>429</v>
      </c>
      <c r="N121" s="117">
        <f t="shared" si="19"/>
        <v>447500</v>
      </c>
      <c r="O121" s="117">
        <f t="shared" si="20"/>
        <v>83400</v>
      </c>
      <c r="P121" s="117">
        <v>50000</v>
      </c>
      <c r="Q121" s="117">
        <f t="shared" si="21"/>
        <v>530900</v>
      </c>
    </row>
    <row r="122" spans="1:17" ht="20.05" customHeight="1" x14ac:dyDescent="0.7">
      <c r="A122" s="119">
        <v>115</v>
      </c>
      <c r="B122" s="136">
        <v>58</v>
      </c>
      <c r="C122" s="60">
        <v>12</v>
      </c>
      <c r="D122" s="124" t="s">
        <v>427</v>
      </c>
      <c r="E122" s="124" t="s">
        <v>430</v>
      </c>
      <c r="F122" s="124" t="s">
        <v>67</v>
      </c>
      <c r="G122" s="60">
        <v>113</v>
      </c>
      <c r="H122" s="125">
        <v>1412</v>
      </c>
      <c r="I122" s="127">
        <v>1471</v>
      </c>
      <c r="J122" s="126">
        <f t="shared" si="22"/>
        <v>59</v>
      </c>
      <c r="K122" s="127">
        <v>523</v>
      </c>
      <c r="L122" s="127">
        <v>227.65</v>
      </c>
      <c r="M122" s="138" t="s">
        <v>431</v>
      </c>
      <c r="N122" s="117">
        <f t="shared" si="19"/>
        <v>735500</v>
      </c>
      <c r="O122" s="117">
        <f t="shared" si="20"/>
        <v>156900</v>
      </c>
      <c r="P122" s="117">
        <v>50000</v>
      </c>
      <c r="Q122" s="117">
        <f t="shared" si="21"/>
        <v>892400</v>
      </c>
    </row>
    <row r="123" spans="1:17" ht="20.05" customHeight="1" x14ac:dyDescent="0.7">
      <c r="A123" s="119">
        <v>116</v>
      </c>
      <c r="B123" s="136">
        <v>60</v>
      </c>
      <c r="C123" s="60">
        <v>12</v>
      </c>
      <c r="D123" s="124" t="s">
        <v>432</v>
      </c>
      <c r="E123" s="124" t="s">
        <v>433</v>
      </c>
      <c r="F123" s="124" t="s">
        <v>67</v>
      </c>
      <c r="G123" s="60">
        <v>21</v>
      </c>
      <c r="H123" s="125">
        <v>560</v>
      </c>
      <c r="I123" s="125">
        <v>560</v>
      </c>
      <c r="J123" s="126">
        <f t="shared" si="22"/>
        <v>0</v>
      </c>
      <c r="K123" s="127">
        <v>271</v>
      </c>
      <c r="L123" s="127">
        <v>94.61</v>
      </c>
      <c r="M123" s="138" t="s">
        <v>434</v>
      </c>
      <c r="N123" s="117">
        <f t="shared" si="19"/>
        <v>280000</v>
      </c>
      <c r="O123" s="117">
        <f t="shared" si="20"/>
        <v>81300</v>
      </c>
      <c r="P123" s="117">
        <v>50000</v>
      </c>
      <c r="Q123" s="117">
        <f t="shared" si="21"/>
        <v>361300</v>
      </c>
    </row>
    <row r="124" spans="1:17" ht="20.05" customHeight="1" x14ac:dyDescent="0.7">
      <c r="A124" s="119">
        <v>117</v>
      </c>
      <c r="B124" s="136">
        <v>61</v>
      </c>
      <c r="C124" s="60">
        <v>12</v>
      </c>
      <c r="D124" s="124" t="s">
        <v>435</v>
      </c>
      <c r="E124" s="124" t="s">
        <v>436</v>
      </c>
      <c r="F124" s="124" t="s">
        <v>67</v>
      </c>
      <c r="G124" s="60" t="s">
        <v>437</v>
      </c>
      <c r="H124" s="125">
        <v>600</v>
      </c>
      <c r="I124" s="127">
        <v>598</v>
      </c>
      <c r="J124" s="126">
        <f t="shared" si="22"/>
        <v>-2</v>
      </c>
      <c r="K124" s="127">
        <v>296</v>
      </c>
      <c r="L124" s="127">
        <v>152.84</v>
      </c>
      <c r="M124" s="138" t="s">
        <v>438</v>
      </c>
      <c r="N124" s="117">
        <f t="shared" si="19"/>
        <v>299000</v>
      </c>
      <c r="O124" s="117">
        <f t="shared" si="20"/>
        <v>88800</v>
      </c>
      <c r="P124" s="117">
        <v>50000</v>
      </c>
      <c r="Q124" s="117">
        <f t="shared" si="21"/>
        <v>387800</v>
      </c>
    </row>
    <row r="125" spans="1:17" ht="20.05" customHeight="1" x14ac:dyDescent="0.7">
      <c r="A125" s="119">
        <v>118</v>
      </c>
      <c r="B125" s="136">
        <v>62</v>
      </c>
      <c r="C125" s="60">
        <v>12</v>
      </c>
      <c r="D125" s="124" t="s">
        <v>439</v>
      </c>
      <c r="E125" s="124" t="s">
        <v>440</v>
      </c>
      <c r="F125" s="124" t="s">
        <v>67</v>
      </c>
      <c r="G125" s="60">
        <v>111</v>
      </c>
      <c r="H125" s="125">
        <v>901</v>
      </c>
      <c r="I125" s="127">
        <v>534</v>
      </c>
      <c r="J125" s="126"/>
      <c r="K125" s="127">
        <v>298</v>
      </c>
      <c r="L125" s="127">
        <v>95.01</v>
      </c>
      <c r="M125" s="138" t="s">
        <v>441</v>
      </c>
      <c r="N125" s="117">
        <f t="shared" si="19"/>
        <v>267000</v>
      </c>
      <c r="O125" s="117">
        <f t="shared" si="20"/>
        <v>89400</v>
      </c>
      <c r="P125" s="117">
        <v>50000</v>
      </c>
      <c r="Q125" s="117">
        <f t="shared" si="21"/>
        <v>356400</v>
      </c>
    </row>
    <row r="126" spans="1:17" ht="20.05" customHeight="1" x14ac:dyDescent="0.7">
      <c r="A126" s="119">
        <v>119</v>
      </c>
      <c r="B126" s="136">
        <v>63</v>
      </c>
      <c r="C126" s="60">
        <v>12</v>
      </c>
      <c r="D126" s="124" t="s">
        <v>442</v>
      </c>
      <c r="E126" s="124" t="s">
        <v>443</v>
      </c>
      <c r="F126" s="124" t="s">
        <v>67</v>
      </c>
      <c r="G126" s="60" t="s">
        <v>444</v>
      </c>
      <c r="H126" s="125">
        <v>901</v>
      </c>
      <c r="I126" s="127">
        <v>367</v>
      </c>
      <c r="J126" s="126"/>
      <c r="K126" s="127">
        <v>142</v>
      </c>
      <c r="L126" s="127">
        <v>66.16</v>
      </c>
      <c r="M126" s="138" t="s">
        <v>445</v>
      </c>
      <c r="N126" s="117">
        <f t="shared" si="19"/>
        <v>183500</v>
      </c>
      <c r="O126" s="117">
        <f t="shared" si="20"/>
        <v>42600</v>
      </c>
      <c r="P126" s="117">
        <v>50000</v>
      </c>
      <c r="Q126" s="117">
        <f t="shared" si="21"/>
        <v>226100</v>
      </c>
    </row>
    <row r="127" spans="1:17" ht="20.05" customHeight="1" x14ac:dyDescent="0.7">
      <c r="A127" s="119">
        <v>120</v>
      </c>
      <c r="B127" s="136">
        <v>66</v>
      </c>
      <c r="C127" s="60">
        <v>12</v>
      </c>
      <c r="D127" s="124" t="s">
        <v>446</v>
      </c>
      <c r="E127" s="124" t="s">
        <v>447</v>
      </c>
      <c r="F127" s="124" t="s">
        <v>67</v>
      </c>
      <c r="G127" s="60">
        <v>117</v>
      </c>
      <c r="H127" s="125">
        <v>740</v>
      </c>
      <c r="I127" s="125">
        <v>807</v>
      </c>
      <c r="J127" s="126">
        <f t="shared" ref="J127:J140" si="23">I127-H127</f>
        <v>67</v>
      </c>
      <c r="K127" s="127">
        <v>502</v>
      </c>
      <c r="L127" s="127">
        <v>186.94</v>
      </c>
      <c r="M127" s="138" t="s">
        <v>448</v>
      </c>
      <c r="N127" s="117">
        <f t="shared" si="19"/>
        <v>403500</v>
      </c>
      <c r="O127" s="117">
        <f t="shared" si="20"/>
        <v>150600</v>
      </c>
      <c r="P127" s="117">
        <v>50000</v>
      </c>
      <c r="Q127" s="117">
        <f t="shared" si="21"/>
        <v>554100</v>
      </c>
    </row>
    <row r="128" spans="1:17" ht="20.05" customHeight="1" x14ac:dyDescent="0.7">
      <c r="A128" s="119">
        <v>121</v>
      </c>
      <c r="B128" s="136">
        <v>72</v>
      </c>
      <c r="C128" s="60">
        <v>12</v>
      </c>
      <c r="D128" s="124" t="s">
        <v>164</v>
      </c>
      <c r="E128" s="124" t="s">
        <v>449</v>
      </c>
      <c r="F128" s="124" t="s">
        <v>202</v>
      </c>
      <c r="G128" s="60">
        <v>119</v>
      </c>
      <c r="H128" s="125">
        <v>600</v>
      </c>
      <c r="I128" s="127">
        <v>516</v>
      </c>
      <c r="J128" s="126">
        <f t="shared" si="23"/>
        <v>-84</v>
      </c>
      <c r="K128" s="127">
        <v>273</v>
      </c>
      <c r="L128" s="127">
        <v>55.1</v>
      </c>
      <c r="M128" s="138" t="s">
        <v>450</v>
      </c>
      <c r="N128" s="117">
        <f t="shared" si="19"/>
        <v>258000</v>
      </c>
      <c r="O128" s="117">
        <f t="shared" si="20"/>
        <v>81900</v>
      </c>
      <c r="P128" s="117">
        <v>50000</v>
      </c>
      <c r="Q128" s="117">
        <f t="shared" si="21"/>
        <v>339900</v>
      </c>
    </row>
    <row r="129" spans="1:17" ht="20.05" customHeight="1" x14ac:dyDescent="0.7">
      <c r="A129" s="119">
        <v>122</v>
      </c>
      <c r="B129" s="139">
        <v>83</v>
      </c>
      <c r="C129" s="60">
        <v>12</v>
      </c>
      <c r="D129" s="124" t="s">
        <v>451</v>
      </c>
      <c r="E129" s="124" t="s">
        <v>452</v>
      </c>
      <c r="F129" s="124" t="s">
        <v>67</v>
      </c>
      <c r="G129" s="60">
        <v>7</v>
      </c>
      <c r="H129" s="125">
        <v>586</v>
      </c>
      <c r="I129" s="125">
        <v>586</v>
      </c>
      <c r="J129" s="126">
        <f t="shared" si="23"/>
        <v>0</v>
      </c>
      <c r="K129" s="127">
        <v>200</v>
      </c>
      <c r="L129" s="127">
        <v>99.66</v>
      </c>
      <c r="M129" s="138" t="s">
        <v>453</v>
      </c>
      <c r="N129" s="117">
        <f t="shared" si="19"/>
        <v>293000</v>
      </c>
      <c r="O129" s="117">
        <f t="shared" si="20"/>
        <v>60000</v>
      </c>
      <c r="P129" s="117">
        <v>50000</v>
      </c>
      <c r="Q129" s="117">
        <f t="shared" si="21"/>
        <v>353000</v>
      </c>
    </row>
    <row r="130" spans="1:17" ht="20.05" customHeight="1" x14ac:dyDescent="0.7">
      <c r="A130" s="119">
        <v>123</v>
      </c>
      <c r="B130" s="139">
        <v>84</v>
      </c>
      <c r="C130" s="60">
        <v>12</v>
      </c>
      <c r="D130" s="124" t="s">
        <v>454</v>
      </c>
      <c r="E130" s="124" t="s">
        <v>455</v>
      </c>
      <c r="F130" s="124" t="s">
        <v>67</v>
      </c>
      <c r="G130" s="60">
        <v>109</v>
      </c>
      <c r="H130" s="125">
        <v>923</v>
      </c>
      <c r="I130" s="125">
        <v>923</v>
      </c>
      <c r="J130" s="126">
        <f t="shared" si="23"/>
        <v>0</v>
      </c>
      <c r="K130" s="127">
        <v>521</v>
      </c>
      <c r="L130" s="127">
        <v>136.53</v>
      </c>
      <c r="M130" s="138" t="s">
        <v>456</v>
      </c>
      <c r="N130" s="117">
        <f t="shared" si="19"/>
        <v>461500</v>
      </c>
      <c r="O130" s="117">
        <f t="shared" si="20"/>
        <v>156300</v>
      </c>
      <c r="P130" s="117">
        <v>50000</v>
      </c>
      <c r="Q130" s="117">
        <f t="shared" si="21"/>
        <v>617800</v>
      </c>
    </row>
    <row r="131" spans="1:17" ht="20.05" customHeight="1" x14ac:dyDescent="0.7">
      <c r="A131" s="119">
        <v>124</v>
      </c>
      <c r="B131" s="139">
        <v>85</v>
      </c>
      <c r="C131" s="60">
        <v>12</v>
      </c>
      <c r="D131" s="124" t="s">
        <v>457</v>
      </c>
      <c r="E131" s="124" t="s">
        <v>458</v>
      </c>
      <c r="F131" s="124" t="s">
        <v>67</v>
      </c>
      <c r="G131" s="60" t="s">
        <v>459</v>
      </c>
      <c r="H131" s="125">
        <v>1090</v>
      </c>
      <c r="I131" s="125">
        <v>1090</v>
      </c>
      <c r="J131" s="126">
        <f t="shared" si="23"/>
        <v>0</v>
      </c>
      <c r="K131" s="127">
        <v>557</v>
      </c>
      <c r="L131" s="127">
        <v>233.09</v>
      </c>
      <c r="M131" s="138" t="s">
        <v>460</v>
      </c>
      <c r="N131" s="117">
        <f t="shared" si="19"/>
        <v>654000</v>
      </c>
      <c r="O131" s="117">
        <f t="shared" si="20"/>
        <v>167100</v>
      </c>
      <c r="P131" s="117">
        <v>60000</v>
      </c>
      <c r="Q131" s="117">
        <f t="shared" si="21"/>
        <v>821100</v>
      </c>
    </row>
    <row r="132" spans="1:17" ht="20.05" customHeight="1" x14ac:dyDescent="0.7">
      <c r="A132" s="119">
        <v>125</v>
      </c>
      <c r="B132" s="139">
        <v>87</v>
      </c>
      <c r="C132" s="60">
        <v>12</v>
      </c>
      <c r="D132" s="124" t="s">
        <v>461</v>
      </c>
      <c r="E132" s="124" t="s">
        <v>462</v>
      </c>
      <c r="F132" s="124" t="s">
        <v>67</v>
      </c>
      <c r="G132" s="60">
        <v>13</v>
      </c>
      <c r="H132" s="125">
        <v>600</v>
      </c>
      <c r="I132" s="127">
        <v>612</v>
      </c>
      <c r="J132" s="126">
        <f t="shared" si="23"/>
        <v>12</v>
      </c>
      <c r="K132" s="127">
        <v>180</v>
      </c>
      <c r="L132" s="127">
        <v>69.61</v>
      </c>
      <c r="M132" s="138" t="s">
        <v>463</v>
      </c>
      <c r="N132" s="117">
        <f t="shared" si="19"/>
        <v>306000</v>
      </c>
      <c r="O132" s="117">
        <f t="shared" si="20"/>
        <v>54000</v>
      </c>
      <c r="P132" s="117">
        <v>50000</v>
      </c>
      <c r="Q132" s="117">
        <f t="shared" si="21"/>
        <v>360000</v>
      </c>
    </row>
    <row r="133" spans="1:17" ht="20.05" customHeight="1" x14ac:dyDescent="0.7">
      <c r="A133" s="119">
        <v>126</v>
      </c>
      <c r="B133" s="145">
        <v>109</v>
      </c>
      <c r="C133" s="60">
        <v>12</v>
      </c>
      <c r="D133" s="124" t="s">
        <v>464</v>
      </c>
      <c r="E133" s="124" t="s">
        <v>465</v>
      </c>
      <c r="F133" s="124" t="s">
        <v>67</v>
      </c>
      <c r="G133" s="60">
        <v>76</v>
      </c>
      <c r="H133" s="125">
        <v>600</v>
      </c>
      <c r="I133" s="125">
        <v>600</v>
      </c>
      <c r="J133" s="126">
        <f t="shared" si="23"/>
        <v>0</v>
      </c>
      <c r="K133" s="127">
        <v>102</v>
      </c>
      <c r="L133" s="127">
        <v>38.479999999999997</v>
      </c>
      <c r="M133" s="138" t="s">
        <v>466</v>
      </c>
      <c r="N133" s="117">
        <f t="shared" si="19"/>
        <v>300000</v>
      </c>
      <c r="O133" s="117">
        <f t="shared" si="20"/>
        <v>30600</v>
      </c>
      <c r="P133" s="117">
        <v>50000</v>
      </c>
      <c r="Q133" s="117">
        <f t="shared" si="21"/>
        <v>330600</v>
      </c>
    </row>
    <row r="134" spans="1:17" ht="20.05" customHeight="1" x14ac:dyDescent="0.7">
      <c r="A134" s="119">
        <v>127</v>
      </c>
      <c r="B134" s="145">
        <v>110</v>
      </c>
      <c r="C134" s="60">
        <v>12</v>
      </c>
      <c r="D134" s="124" t="s">
        <v>467</v>
      </c>
      <c r="E134" s="124" t="s">
        <v>468</v>
      </c>
      <c r="F134" s="124" t="s">
        <v>67</v>
      </c>
      <c r="G134" s="60">
        <v>91</v>
      </c>
      <c r="H134" s="125">
        <v>588</v>
      </c>
      <c r="I134" s="125">
        <v>588</v>
      </c>
      <c r="J134" s="126">
        <f t="shared" si="23"/>
        <v>0</v>
      </c>
      <c r="K134" s="127">
        <v>301</v>
      </c>
      <c r="L134" s="127">
        <v>175.9</v>
      </c>
      <c r="M134" s="138" t="s">
        <v>469</v>
      </c>
      <c r="N134" s="117">
        <f t="shared" si="19"/>
        <v>294000</v>
      </c>
      <c r="O134" s="117">
        <f t="shared" si="20"/>
        <v>90300</v>
      </c>
      <c r="P134" s="117">
        <v>50000</v>
      </c>
      <c r="Q134" s="117">
        <f t="shared" si="21"/>
        <v>384300</v>
      </c>
    </row>
    <row r="135" spans="1:17" ht="20.05" customHeight="1" x14ac:dyDescent="0.7">
      <c r="A135" s="119">
        <v>128</v>
      </c>
      <c r="B135" s="145">
        <v>111</v>
      </c>
      <c r="C135" s="60">
        <v>12</v>
      </c>
      <c r="D135" s="124" t="s">
        <v>470</v>
      </c>
      <c r="E135" s="124" t="s">
        <v>471</v>
      </c>
      <c r="F135" s="124" t="s">
        <v>71</v>
      </c>
      <c r="G135" s="60">
        <v>90</v>
      </c>
      <c r="H135" s="125">
        <v>600</v>
      </c>
      <c r="I135" s="127">
        <v>651</v>
      </c>
      <c r="J135" s="126">
        <f t="shared" si="23"/>
        <v>51</v>
      </c>
      <c r="K135" s="127">
        <v>290</v>
      </c>
      <c r="L135" s="127">
        <v>137.69999999999999</v>
      </c>
      <c r="M135" s="138" t="s">
        <v>472</v>
      </c>
      <c r="N135" s="117">
        <f t="shared" si="19"/>
        <v>325500</v>
      </c>
      <c r="O135" s="117">
        <f t="shared" si="20"/>
        <v>87000</v>
      </c>
      <c r="P135" s="117">
        <v>50000</v>
      </c>
      <c r="Q135" s="117">
        <f t="shared" si="21"/>
        <v>412500</v>
      </c>
    </row>
    <row r="136" spans="1:17" ht="20.05" customHeight="1" x14ac:dyDescent="0.7">
      <c r="A136" s="119">
        <v>129</v>
      </c>
      <c r="B136" s="145">
        <v>112</v>
      </c>
      <c r="C136" s="60">
        <v>12</v>
      </c>
      <c r="D136" s="124" t="s">
        <v>473</v>
      </c>
      <c r="E136" s="124" t="s">
        <v>474</v>
      </c>
      <c r="F136" s="124" t="s">
        <v>67</v>
      </c>
      <c r="G136" s="60" t="s">
        <v>475</v>
      </c>
      <c r="H136" s="125">
        <v>600</v>
      </c>
      <c r="I136" s="125">
        <v>600</v>
      </c>
      <c r="J136" s="126">
        <f t="shared" si="23"/>
        <v>0</v>
      </c>
      <c r="K136" s="127">
        <v>129</v>
      </c>
      <c r="L136" s="127">
        <v>62.85</v>
      </c>
      <c r="M136" s="138" t="s">
        <v>476</v>
      </c>
      <c r="N136" s="117">
        <f t="shared" si="19"/>
        <v>300000</v>
      </c>
      <c r="O136" s="117">
        <f t="shared" si="20"/>
        <v>38700</v>
      </c>
      <c r="P136" s="117">
        <v>50000</v>
      </c>
      <c r="Q136" s="117">
        <f t="shared" si="21"/>
        <v>338700</v>
      </c>
    </row>
    <row r="137" spans="1:17" ht="20.05" customHeight="1" x14ac:dyDescent="0.7">
      <c r="A137" s="119">
        <v>130</v>
      </c>
      <c r="B137" s="145">
        <v>113</v>
      </c>
      <c r="C137" s="60">
        <v>12</v>
      </c>
      <c r="D137" s="124" t="s">
        <v>477</v>
      </c>
      <c r="E137" s="124" t="s">
        <v>478</v>
      </c>
      <c r="F137" s="124" t="s">
        <v>67</v>
      </c>
      <c r="G137" s="60">
        <v>86</v>
      </c>
      <c r="H137" s="125">
        <v>383</v>
      </c>
      <c r="I137" s="125">
        <v>383</v>
      </c>
      <c r="J137" s="126">
        <f t="shared" si="23"/>
        <v>0</v>
      </c>
      <c r="K137" s="127">
        <v>167</v>
      </c>
      <c r="L137" s="127">
        <v>62.86</v>
      </c>
      <c r="M137" s="138" t="s">
        <v>479</v>
      </c>
      <c r="N137" s="117">
        <f t="shared" si="19"/>
        <v>191500</v>
      </c>
      <c r="O137" s="117">
        <f t="shared" si="20"/>
        <v>50100</v>
      </c>
      <c r="P137" s="117">
        <v>50000</v>
      </c>
      <c r="Q137" s="117">
        <f t="shared" si="21"/>
        <v>241600</v>
      </c>
    </row>
    <row r="138" spans="1:17" ht="20.05" customHeight="1" x14ac:dyDescent="0.7">
      <c r="A138" s="119">
        <v>131</v>
      </c>
      <c r="B138" s="145">
        <v>114</v>
      </c>
      <c r="C138" s="60">
        <v>12</v>
      </c>
      <c r="D138" s="124" t="s">
        <v>480</v>
      </c>
      <c r="E138" s="124" t="s">
        <v>481</v>
      </c>
      <c r="F138" s="124" t="s">
        <v>67</v>
      </c>
      <c r="G138" s="60" t="s">
        <v>482</v>
      </c>
      <c r="H138" s="125">
        <v>600</v>
      </c>
      <c r="I138" s="127">
        <v>595</v>
      </c>
      <c r="J138" s="126">
        <f t="shared" si="23"/>
        <v>-5</v>
      </c>
      <c r="K138" s="127">
        <v>291</v>
      </c>
      <c r="L138" s="127">
        <v>54</v>
      </c>
      <c r="M138" s="138" t="s">
        <v>483</v>
      </c>
      <c r="N138" s="117">
        <f t="shared" si="19"/>
        <v>297500</v>
      </c>
      <c r="O138" s="117">
        <f t="shared" si="20"/>
        <v>87300</v>
      </c>
      <c r="P138" s="117">
        <v>50000</v>
      </c>
      <c r="Q138" s="117">
        <f t="shared" si="21"/>
        <v>384800</v>
      </c>
    </row>
    <row r="139" spans="1:17" ht="20.05" customHeight="1" x14ac:dyDescent="0.7">
      <c r="A139" s="119">
        <v>132</v>
      </c>
      <c r="B139" s="145">
        <v>115</v>
      </c>
      <c r="C139" s="60">
        <v>12</v>
      </c>
      <c r="D139" s="124" t="s">
        <v>484</v>
      </c>
      <c r="E139" s="124" t="s">
        <v>485</v>
      </c>
      <c r="F139" s="124" t="s">
        <v>67</v>
      </c>
      <c r="G139" s="60">
        <v>88</v>
      </c>
      <c r="H139" s="125">
        <v>600</v>
      </c>
      <c r="I139" s="127">
        <v>617</v>
      </c>
      <c r="J139" s="126">
        <f t="shared" si="23"/>
        <v>17</v>
      </c>
      <c r="K139" s="127">
        <v>366</v>
      </c>
      <c r="L139" s="127">
        <v>209.7</v>
      </c>
      <c r="M139" s="138" t="s">
        <v>486</v>
      </c>
      <c r="N139" s="117">
        <f t="shared" si="19"/>
        <v>308500</v>
      </c>
      <c r="O139" s="117">
        <f t="shared" si="20"/>
        <v>109800</v>
      </c>
      <c r="P139" s="117">
        <v>50000</v>
      </c>
      <c r="Q139" s="117">
        <f t="shared" si="21"/>
        <v>418300</v>
      </c>
    </row>
    <row r="140" spans="1:17" ht="20.05" customHeight="1" x14ac:dyDescent="0.7">
      <c r="A140" s="119">
        <v>133</v>
      </c>
      <c r="B140" s="142">
        <v>108</v>
      </c>
      <c r="C140" s="60">
        <v>12</v>
      </c>
      <c r="D140" s="124" t="s">
        <v>487</v>
      </c>
      <c r="E140" s="124" t="s">
        <v>488</v>
      </c>
      <c r="F140" s="124" t="s">
        <v>67</v>
      </c>
      <c r="G140" s="60" t="s">
        <v>489</v>
      </c>
      <c r="H140" s="125">
        <v>1200</v>
      </c>
      <c r="I140" s="127">
        <v>1487</v>
      </c>
      <c r="J140" s="126">
        <f t="shared" si="23"/>
        <v>287</v>
      </c>
      <c r="K140" s="127">
        <v>547</v>
      </c>
      <c r="L140" s="127">
        <v>164.96</v>
      </c>
      <c r="M140" s="138" t="s">
        <v>490</v>
      </c>
      <c r="N140" s="117">
        <f t="shared" si="19"/>
        <v>743500</v>
      </c>
      <c r="O140" s="117">
        <f t="shared" si="20"/>
        <v>164100</v>
      </c>
      <c r="P140" s="117">
        <v>50000</v>
      </c>
      <c r="Q140" s="117">
        <f t="shared" si="21"/>
        <v>907600</v>
      </c>
    </row>
    <row r="141" spans="1:17" ht="20.05" customHeight="1" x14ac:dyDescent="0.6">
      <c r="A141" s="130"/>
      <c r="B141" s="130"/>
      <c r="C141" s="130"/>
      <c r="D141" s="133"/>
      <c r="E141" s="133"/>
      <c r="F141" s="133"/>
      <c r="G141" s="130"/>
      <c r="H141" s="140">
        <f>SUM(H101:H140)</f>
        <v>29692</v>
      </c>
      <c r="I141" s="140">
        <f t="shared" ref="I141:Q141" si="24">SUM(I101:I140)</f>
        <v>28151</v>
      </c>
      <c r="J141" s="140">
        <f t="shared" si="24"/>
        <v>650</v>
      </c>
      <c r="K141" s="140">
        <f t="shared" si="24"/>
        <v>13447</v>
      </c>
      <c r="L141" s="140">
        <f t="shared" si="24"/>
        <v>5000.0199999999995</v>
      </c>
      <c r="M141" s="140">
        <f t="shared" si="24"/>
        <v>0</v>
      </c>
      <c r="N141" s="140">
        <f t="shared" si="24"/>
        <v>14363900</v>
      </c>
      <c r="O141" s="140">
        <f t="shared" si="24"/>
        <v>4034100</v>
      </c>
      <c r="P141" s="140">
        <f t="shared" si="24"/>
        <v>2030000</v>
      </c>
      <c r="Q141" s="140">
        <f t="shared" si="24"/>
        <v>18398000</v>
      </c>
    </row>
    <row r="142" spans="1:17" s="141" customFormat="1" ht="20.05" customHeight="1" x14ac:dyDescent="0.7">
      <c r="A142" s="119">
        <v>134</v>
      </c>
      <c r="B142" s="145">
        <v>116</v>
      </c>
      <c r="C142" s="60">
        <v>13</v>
      </c>
      <c r="D142" s="124" t="s">
        <v>491</v>
      </c>
      <c r="E142" s="124" t="s">
        <v>492</v>
      </c>
      <c r="F142" s="124" t="s">
        <v>197</v>
      </c>
      <c r="G142" s="60" t="s">
        <v>493</v>
      </c>
      <c r="H142" s="125">
        <v>600</v>
      </c>
      <c r="I142" s="127">
        <v>608</v>
      </c>
      <c r="J142" s="126">
        <f t="shared" ref="J142:J148" si="25">I142-H142</f>
        <v>8</v>
      </c>
      <c r="K142" s="127">
        <v>280</v>
      </c>
      <c r="L142" s="127">
        <v>108.02</v>
      </c>
      <c r="M142" s="138" t="s">
        <v>494</v>
      </c>
      <c r="N142" s="117">
        <f t="shared" ref="N142:N148" si="26">I142*P142/100</f>
        <v>304000</v>
      </c>
      <c r="O142" s="117">
        <f t="shared" ref="O142:O148" si="27">K142*300</f>
        <v>84000</v>
      </c>
      <c r="P142" s="117">
        <v>50000</v>
      </c>
      <c r="Q142" s="117">
        <f t="shared" ref="Q142:Q148" si="28">N142+O142</f>
        <v>388000</v>
      </c>
    </row>
    <row r="143" spans="1:17" ht="20.05" customHeight="1" x14ac:dyDescent="0.7">
      <c r="A143" s="119">
        <v>135</v>
      </c>
      <c r="B143" s="145">
        <v>117</v>
      </c>
      <c r="C143" s="60">
        <v>13</v>
      </c>
      <c r="D143" s="124" t="s">
        <v>495</v>
      </c>
      <c r="E143" s="124" t="s">
        <v>496</v>
      </c>
      <c r="F143" s="124" t="s">
        <v>67</v>
      </c>
      <c r="G143" s="60">
        <v>92</v>
      </c>
      <c r="H143" s="125">
        <v>830</v>
      </c>
      <c r="I143" s="125">
        <v>830</v>
      </c>
      <c r="J143" s="126">
        <f t="shared" si="25"/>
        <v>0</v>
      </c>
      <c r="K143" s="127">
        <v>359</v>
      </c>
      <c r="L143" s="127">
        <v>298.2</v>
      </c>
      <c r="M143" s="138" t="s">
        <v>148</v>
      </c>
      <c r="N143" s="117">
        <f t="shared" si="26"/>
        <v>415000</v>
      </c>
      <c r="O143" s="117">
        <f t="shared" si="27"/>
        <v>107700</v>
      </c>
      <c r="P143" s="117">
        <v>50000</v>
      </c>
      <c r="Q143" s="117">
        <f t="shared" si="28"/>
        <v>522700</v>
      </c>
    </row>
    <row r="144" spans="1:17" ht="20.05" customHeight="1" x14ac:dyDescent="0.7">
      <c r="A144" s="119">
        <v>136</v>
      </c>
      <c r="B144" s="145">
        <v>118</v>
      </c>
      <c r="C144" s="60">
        <v>13</v>
      </c>
      <c r="D144" s="124" t="s">
        <v>497</v>
      </c>
      <c r="E144" s="124" t="s">
        <v>498</v>
      </c>
      <c r="F144" s="124" t="s">
        <v>71</v>
      </c>
      <c r="G144" s="60">
        <v>98</v>
      </c>
      <c r="H144" s="125">
        <v>600</v>
      </c>
      <c r="I144" s="125">
        <v>600</v>
      </c>
      <c r="J144" s="126">
        <f t="shared" si="25"/>
        <v>0</v>
      </c>
      <c r="K144" s="127">
        <v>217</v>
      </c>
      <c r="L144" s="127">
        <v>148.38</v>
      </c>
      <c r="M144" s="138" t="s">
        <v>499</v>
      </c>
      <c r="N144" s="117">
        <f t="shared" si="26"/>
        <v>300000</v>
      </c>
      <c r="O144" s="117">
        <f t="shared" si="27"/>
        <v>65100</v>
      </c>
      <c r="P144" s="117">
        <v>50000</v>
      </c>
      <c r="Q144" s="117">
        <f t="shared" si="28"/>
        <v>365100</v>
      </c>
    </row>
    <row r="145" spans="1:17" ht="20.05" customHeight="1" x14ac:dyDescent="0.7">
      <c r="A145" s="119">
        <v>137</v>
      </c>
      <c r="B145" s="145">
        <v>119</v>
      </c>
      <c r="C145" s="60">
        <v>13</v>
      </c>
      <c r="D145" s="124" t="s">
        <v>500</v>
      </c>
      <c r="E145" s="124" t="s">
        <v>501</v>
      </c>
      <c r="F145" s="124" t="s">
        <v>67</v>
      </c>
      <c r="G145" s="60">
        <v>99</v>
      </c>
      <c r="H145" s="125">
        <v>600</v>
      </c>
      <c r="I145" s="125">
        <v>600</v>
      </c>
      <c r="J145" s="126">
        <f t="shared" si="25"/>
        <v>0</v>
      </c>
      <c r="K145" s="127">
        <v>365</v>
      </c>
      <c r="L145" s="127">
        <v>279.5</v>
      </c>
      <c r="M145" s="138" t="s">
        <v>502</v>
      </c>
      <c r="N145" s="117">
        <f t="shared" si="26"/>
        <v>300000</v>
      </c>
      <c r="O145" s="117">
        <f t="shared" si="27"/>
        <v>109500</v>
      </c>
      <c r="P145" s="117">
        <v>50000</v>
      </c>
      <c r="Q145" s="117">
        <f t="shared" si="28"/>
        <v>409500</v>
      </c>
    </row>
    <row r="146" spans="1:17" ht="20.05" customHeight="1" x14ac:dyDescent="0.7">
      <c r="A146" s="119">
        <v>138</v>
      </c>
      <c r="B146" s="145">
        <v>120</v>
      </c>
      <c r="C146" s="60">
        <v>13</v>
      </c>
      <c r="D146" s="124" t="s">
        <v>503</v>
      </c>
      <c r="E146" s="124" t="s">
        <v>504</v>
      </c>
      <c r="F146" s="124" t="s">
        <v>67</v>
      </c>
      <c r="G146" s="60">
        <v>98</v>
      </c>
      <c r="H146" s="125">
        <v>600</v>
      </c>
      <c r="I146" s="125">
        <v>600</v>
      </c>
      <c r="J146" s="126">
        <f t="shared" si="25"/>
        <v>0</v>
      </c>
      <c r="K146" s="127">
        <v>249</v>
      </c>
      <c r="L146" s="127">
        <v>105.8</v>
      </c>
      <c r="M146" s="138" t="s">
        <v>505</v>
      </c>
      <c r="N146" s="117">
        <f t="shared" si="26"/>
        <v>300000</v>
      </c>
      <c r="O146" s="117">
        <f t="shared" si="27"/>
        <v>74700</v>
      </c>
      <c r="P146" s="117">
        <v>50000</v>
      </c>
      <c r="Q146" s="117">
        <f t="shared" si="28"/>
        <v>374700</v>
      </c>
    </row>
    <row r="147" spans="1:17" ht="20.05" customHeight="1" x14ac:dyDescent="0.7">
      <c r="A147" s="119">
        <v>139</v>
      </c>
      <c r="B147" s="145">
        <v>121</v>
      </c>
      <c r="C147" s="60">
        <v>13</v>
      </c>
      <c r="D147" s="124" t="s">
        <v>506</v>
      </c>
      <c r="E147" s="124" t="s">
        <v>507</v>
      </c>
      <c r="F147" s="124" t="s">
        <v>67</v>
      </c>
      <c r="G147" s="60">
        <v>100</v>
      </c>
      <c r="H147" s="125">
        <v>600</v>
      </c>
      <c r="I147" s="125">
        <v>600</v>
      </c>
      <c r="J147" s="126">
        <f t="shared" si="25"/>
        <v>0</v>
      </c>
      <c r="K147" s="127">
        <v>349</v>
      </c>
      <c r="L147" s="127">
        <v>166.26</v>
      </c>
      <c r="M147" s="138" t="s">
        <v>508</v>
      </c>
      <c r="N147" s="117">
        <f t="shared" si="26"/>
        <v>300000</v>
      </c>
      <c r="O147" s="117">
        <f t="shared" si="27"/>
        <v>104700</v>
      </c>
      <c r="P147" s="117">
        <v>50000</v>
      </c>
      <c r="Q147" s="117">
        <f t="shared" si="28"/>
        <v>404700</v>
      </c>
    </row>
    <row r="148" spans="1:17" ht="20.05" customHeight="1" x14ac:dyDescent="0.7">
      <c r="A148" s="119">
        <v>140</v>
      </c>
      <c r="B148" s="145">
        <v>122</v>
      </c>
      <c r="C148" s="60">
        <v>13</v>
      </c>
      <c r="D148" s="124" t="s">
        <v>509</v>
      </c>
      <c r="E148" s="124" t="s">
        <v>510</v>
      </c>
      <c r="F148" s="124" t="s">
        <v>67</v>
      </c>
      <c r="G148" s="60">
        <v>94</v>
      </c>
      <c r="H148" s="125">
        <v>566</v>
      </c>
      <c r="I148" s="125">
        <v>566</v>
      </c>
      <c r="J148" s="126">
        <f t="shared" si="25"/>
        <v>0</v>
      </c>
      <c r="K148" s="127">
        <v>245</v>
      </c>
      <c r="L148" s="127">
        <v>148.9</v>
      </c>
      <c r="M148" s="138" t="s">
        <v>511</v>
      </c>
      <c r="N148" s="117">
        <f t="shared" si="26"/>
        <v>283000</v>
      </c>
      <c r="O148" s="117">
        <f t="shared" si="27"/>
        <v>73500</v>
      </c>
      <c r="P148" s="117">
        <v>50000</v>
      </c>
      <c r="Q148" s="117">
        <f t="shared" si="28"/>
        <v>356500</v>
      </c>
    </row>
    <row r="149" spans="1:17" ht="20.05" customHeight="1" x14ac:dyDescent="0.6">
      <c r="A149" s="130"/>
      <c r="B149" s="130"/>
      <c r="C149" s="130"/>
      <c r="D149" s="133"/>
      <c r="E149" s="133"/>
      <c r="F149" s="133"/>
      <c r="G149" s="130"/>
      <c r="H149" s="140">
        <f>SUM(H142:H148)</f>
        <v>4396</v>
      </c>
      <c r="I149" s="140">
        <f t="shared" ref="I149:Q149" si="29">SUM(I142:I148)</f>
        <v>4404</v>
      </c>
      <c r="J149" s="140">
        <f t="shared" si="29"/>
        <v>8</v>
      </c>
      <c r="K149" s="140">
        <f t="shared" si="29"/>
        <v>2064</v>
      </c>
      <c r="L149" s="140">
        <f t="shared" si="29"/>
        <v>1255.06</v>
      </c>
      <c r="M149" s="140">
        <f t="shared" si="29"/>
        <v>0</v>
      </c>
      <c r="N149" s="140">
        <f t="shared" si="29"/>
        <v>2202000</v>
      </c>
      <c r="O149" s="140">
        <f t="shared" si="29"/>
        <v>619200</v>
      </c>
      <c r="P149" s="140">
        <f t="shared" si="29"/>
        <v>350000</v>
      </c>
      <c r="Q149" s="140">
        <f t="shared" si="29"/>
        <v>2821200</v>
      </c>
    </row>
    <row r="150" spans="1:17" s="141" customFormat="1" ht="20.05" customHeight="1" x14ac:dyDescent="0.7">
      <c r="A150" s="119">
        <v>141</v>
      </c>
      <c r="B150" s="145">
        <v>123</v>
      </c>
      <c r="C150" s="60">
        <v>14</v>
      </c>
      <c r="D150" s="124" t="s">
        <v>512</v>
      </c>
      <c r="E150" s="124" t="s">
        <v>513</v>
      </c>
      <c r="F150" s="124" t="s">
        <v>67</v>
      </c>
      <c r="G150" s="60">
        <v>102</v>
      </c>
      <c r="H150" s="125">
        <v>990</v>
      </c>
      <c r="I150" s="125">
        <v>990</v>
      </c>
      <c r="J150" s="126">
        <f t="shared" ref="J150:J160" si="30">I150-H150</f>
        <v>0</v>
      </c>
      <c r="K150" s="127">
        <v>357</v>
      </c>
      <c r="L150" s="127">
        <v>201.82</v>
      </c>
      <c r="M150" s="138" t="s">
        <v>514</v>
      </c>
      <c r="N150" s="117">
        <f t="shared" ref="N150:N160" si="31">I150*P150/100</f>
        <v>495000</v>
      </c>
      <c r="O150" s="117">
        <f t="shared" ref="O150:O160" si="32">K150*300</f>
        <v>107100</v>
      </c>
      <c r="P150" s="117">
        <v>50000</v>
      </c>
      <c r="Q150" s="117">
        <f t="shared" ref="Q150:Q160" si="33">N150+O150</f>
        <v>602100</v>
      </c>
    </row>
    <row r="151" spans="1:17" ht="20.05" customHeight="1" x14ac:dyDescent="0.7">
      <c r="A151" s="119">
        <v>142</v>
      </c>
      <c r="B151" s="145">
        <v>124</v>
      </c>
      <c r="C151" s="60">
        <v>14</v>
      </c>
      <c r="D151" s="124" t="s">
        <v>515</v>
      </c>
      <c r="E151" s="124" t="s">
        <v>516</v>
      </c>
      <c r="F151" s="124" t="s">
        <v>67</v>
      </c>
      <c r="G151" s="60">
        <v>106</v>
      </c>
      <c r="H151" s="125">
        <v>1759</v>
      </c>
      <c r="I151" s="125">
        <v>1759</v>
      </c>
      <c r="J151" s="126">
        <f t="shared" si="30"/>
        <v>0</v>
      </c>
      <c r="K151" s="127">
        <v>477</v>
      </c>
      <c r="L151" s="127">
        <v>236.99</v>
      </c>
      <c r="M151" s="138" t="s">
        <v>517</v>
      </c>
      <c r="N151" s="117">
        <f t="shared" si="31"/>
        <v>1055400</v>
      </c>
      <c r="O151" s="117">
        <f t="shared" si="32"/>
        <v>143100</v>
      </c>
      <c r="P151" s="117">
        <v>60000</v>
      </c>
      <c r="Q151" s="117">
        <f t="shared" si="33"/>
        <v>1198500</v>
      </c>
    </row>
    <row r="152" spans="1:17" ht="20.05" customHeight="1" x14ac:dyDescent="0.7">
      <c r="A152" s="119">
        <v>143</v>
      </c>
      <c r="B152" s="145">
        <v>125</v>
      </c>
      <c r="C152" s="60">
        <v>14</v>
      </c>
      <c r="D152" s="124" t="s">
        <v>518</v>
      </c>
      <c r="E152" s="124" t="s">
        <v>519</v>
      </c>
      <c r="F152" s="124" t="s">
        <v>67</v>
      </c>
      <c r="G152" s="60">
        <v>131</v>
      </c>
      <c r="H152" s="125">
        <v>600</v>
      </c>
      <c r="I152" s="125">
        <v>600</v>
      </c>
      <c r="J152" s="126">
        <f t="shared" si="30"/>
        <v>0</v>
      </c>
      <c r="K152" s="127">
        <v>226</v>
      </c>
      <c r="L152" s="127">
        <v>122.29</v>
      </c>
      <c r="M152" s="138" t="s">
        <v>520</v>
      </c>
      <c r="N152" s="117">
        <f t="shared" si="31"/>
        <v>390000</v>
      </c>
      <c r="O152" s="117">
        <f t="shared" si="32"/>
        <v>67800</v>
      </c>
      <c r="P152" s="117">
        <v>65000</v>
      </c>
      <c r="Q152" s="117">
        <f t="shared" si="33"/>
        <v>457800</v>
      </c>
    </row>
    <row r="153" spans="1:17" ht="20.05" customHeight="1" x14ac:dyDescent="0.7">
      <c r="A153" s="119">
        <v>144</v>
      </c>
      <c r="B153" s="145">
        <v>126</v>
      </c>
      <c r="C153" s="60">
        <v>14</v>
      </c>
      <c r="D153" s="124" t="s">
        <v>521</v>
      </c>
      <c r="E153" s="124" t="s">
        <v>522</v>
      </c>
      <c r="F153" s="124" t="s">
        <v>67</v>
      </c>
      <c r="G153" s="60">
        <v>105</v>
      </c>
      <c r="H153" s="125">
        <v>739</v>
      </c>
      <c r="I153" s="125">
        <v>739</v>
      </c>
      <c r="J153" s="126">
        <f t="shared" si="30"/>
        <v>0</v>
      </c>
      <c r="K153" s="127">
        <v>427</v>
      </c>
      <c r="L153" s="127">
        <v>211.65</v>
      </c>
      <c r="M153" s="138" t="s">
        <v>523</v>
      </c>
      <c r="N153" s="117">
        <f t="shared" si="31"/>
        <v>369500</v>
      </c>
      <c r="O153" s="117">
        <f t="shared" si="32"/>
        <v>128100</v>
      </c>
      <c r="P153" s="117">
        <v>50000</v>
      </c>
      <c r="Q153" s="117">
        <f t="shared" si="33"/>
        <v>497600</v>
      </c>
    </row>
    <row r="154" spans="1:17" ht="20.05" customHeight="1" x14ac:dyDescent="0.7">
      <c r="A154" s="119">
        <v>145</v>
      </c>
      <c r="B154" s="145">
        <v>127</v>
      </c>
      <c r="C154" s="60">
        <v>14</v>
      </c>
      <c r="D154" s="124" t="s">
        <v>524</v>
      </c>
      <c r="E154" s="124" t="s">
        <v>525</v>
      </c>
      <c r="F154" s="124" t="s">
        <v>67</v>
      </c>
      <c r="G154" s="60">
        <v>110</v>
      </c>
      <c r="H154" s="125">
        <v>523</v>
      </c>
      <c r="I154" s="125">
        <v>523</v>
      </c>
      <c r="J154" s="126">
        <f t="shared" si="30"/>
        <v>0</v>
      </c>
      <c r="K154" s="127">
        <v>195</v>
      </c>
      <c r="L154" s="127">
        <v>99.21</v>
      </c>
      <c r="M154" s="138" t="s">
        <v>526</v>
      </c>
      <c r="N154" s="117">
        <f t="shared" si="31"/>
        <v>261500</v>
      </c>
      <c r="O154" s="117">
        <f t="shared" si="32"/>
        <v>58500</v>
      </c>
      <c r="P154" s="117">
        <v>50000</v>
      </c>
      <c r="Q154" s="117">
        <f t="shared" si="33"/>
        <v>320000</v>
      </c>
    </row>
    <row r="155" spans="1:17" ht="20.05" customHeight="1" x14ac:dyDescent="0.7">
      <c r="A155" s="119">
        <v>146</v>
      </c>
      <c r="B155" s="145">
        <v>128</v>
      </c>
      <c r="C155" s="60">
        <v>14</v>
      </c>
      <c r="D155" s="124" t="s">
        <v>527</v>
      </c>
      <c r="E155" s="124" t="s">
        <v>528</v>
      </c>
      <c r="F155" s="124" t="s">
        <v>67</v>
      </c>
      <c r="G155" s="60">
        <v>112</v>
      </c>
      <c r="H155" s="125">
        <v>600</v>
      </c>
      <c r="I155" s="125">
        <v>600</v>
      </c>
      <c r="J155" s="126">
        <f t="shared" si="30"/>
        <v>0</v>
      </c>
      <c r="K155" s="127">
        <v>391</v>
      </c>
      <c r="L155" s="127">
        <v>174.5</v>
      </c>
      <c r="M155" s="138" t="s">
        <v>529</v>
      </c>
      <c r="N155" s="117">
        <f t="shared" si="31"/>
        <v>360000</v>
      </c>
      <c r="O155" s="117">
        <f t="shared" si="32"/>
        <v>117300</v>
      </c>
      <c r="P155" s="117">
        <v>60000</v>
      </c>
      <c r="Q155" s="117">
        <f t="shared" si="33"/>
        <v>477300</v>
      </c>
    </row>
    <row r="156" spans="1:17" ht="20.05" customHeight="1" x14ac:dyDescent="0.7">
      <c r="A156" s="119">
        <v>147</v>
      </c>
      <c r="B156" s="145">
        <v>129</v>
      </c>
      <c r="C156" s="60">
        <v>14</v>
      </c>
      <c r="D156" s="124" t="s">
        <v>530</v>
      </c>
      <c r="E156" s="124" t="s">
        <v>531</v>
      </c>
      <c r="F156" s="124" t="s">
        <v>67</v>
      </c>
      <c r="G156" s="60">
        <v>116</v>
      </c>
      <c r="H156" s="125">
        <v>600</v>
      </c>
      <c r="I156" s="127">
        <v>575</v>
      </c>
      <c r="J156" s="126">
        <f t="shared" si="30"/>
        <v>-25</v>
      </c>
      <c r="K156" s="127">
        <v>332</v>
      </c>
      <c r="L156" s="127">
        <v>132.63999999999999</v>
      </c>
      <c r="M156" s="138" t="s">
        <v>532</v>
      </c>
      <c r="N156" s="117">
        <f t="shared" si="31"/>
        <v>345000</v>
      </c>
      <c r="O156" s="117">
        <f t="shared" si="32"/>
        <v>99600</v>
      </c>
      <c r="P156" s="117">
        <v>60000</v>
      </c>
      <c r="Q156" s="117">
        <f t="shared" si="33"/>
        <v>444600</v>
      </c>
    </row>
    <row r="157" spans="1:17" ht="20.05" customHeight="1" x14ac:dyDescent="0.7">
      <c r="A157" s="119">
        <v>148</v>
      </c>
      <c r="B157" s="145">
        <v>130</v>
      </c>
      <c r="C157" s="60">
        <v>14</v>
      </c>
      <c r="D157" s="124" t="s">
        <v>533</v>
      </c>
      <c r="E157" s="124" t="s">
        <v>534</v>
      </c>
      <c r="F157" s="124" t="s">
        <v>67</v>
      </c>
      <c r="G157" s="60" t="s">
        <v>535</v>
      </c>
      <c r="H157" s="125">
        <v>1387</v>
      </c>
      <c r="I157" s="127">
        <v>794</v>
      </c>
      <c r="J157" s="126">
        <f t="shared" si="30"/>
        <v>-593</v>
      </c>
      <c r="K157" s="127">
        <v>421</v>
      </c>
      <c r="L157" s="127">
        <v>109.27</v>
      </c>
      <c r="M157" s="138" t="s">
        <v>536</v>
      </c>
      <c r="N157" s="117">
        <f t="shared" si="31"/>
        <v>397000</v>
      </c>
      <c r="O157" s="117">
        <f t="shared" si="32"/>
        <v>126300</v>
      </c>
      <c r="P157" s="117">
        <v>50000</v>
      </c>
      <c r="Q157" s="117">
        <f t="shared" si="33"/>
        <v>523300</v>
      </c>
    </row>
    <row r="158" spans="1:17" ht="20.05" customHeight="1" x14ac:dyDescent="0.7">
      <c r="A158" s="119">
        <v>149</v>
      </c>
      <c r="B158" s="145">
        <v>131</v>
      </c>
      <c r="C158" s="60">
        <v>14</v>
      </c>
      <c r="D158" s="124" t="s">
        <v>537</v>
      </c>
      <c r="E158" s="124" t="s">
        <v>538</v>
      </c>
      <c r="F158" s="124" t="s">
        <v>67</v>
      </c>
      <c r="G158" s="60">
        <v>114</v>
      </c>
      <c r="H158" s="125">
        <v>1387</v>
      </c>
      <c r="I158" s="127">
        <v>586</v>
      </c>
      <c r="J158" s="126">
        <f t="shared" si="30"/>
        <v>-801</v>
      </c>
      <c r="K158" s="127">
        <v>234</v>
      </c>
      <c r="L158" s="127">
        <v>98.78</v>
      </c>
      <c r="M158" s="138" t="s">
        <v>539</v>
      </c>
      <c r="N158" s="117">
        <f t="shared" si="31"/>
        <v>293000</v>
      </c>
      <c r="O158" s="117">
        <f t="shared" si="32"/>
        <v>70200</v>
      </c>
      <c r="P158" s="117">
        <v>50000</v>
      </c>
      <c r="Q158" s="117">
        <f t="shared" si="33"/>
        <v>363200</v>
      </c>
    </row>
    <row r="159" spans="1:17" ht="20.05" customHeight="1" x14ac:dyDescent="0.7">
      <c r="A159" s="119">
        <v>150</v>
      </c>
      <c r="B159" s="145">
        <v>132</v>
      </c>
      <c r="C159" s="60">
        <v>14</v>
      </c>
      <c r="D159" s="124" t="s">
        <v>540</v>
      </c>
      <c r="E159" s="124" t="s">
        <v>541</v>
      </c>
      <c r="F159" s="124" t="s">
        <v>67</v>
      </c>
      <c r="G159" s="60" t="s">
        <v>542</v>
      </c>
      <c r="H159" s="125">
        <v>600</v>
      </c>
      <c r="I159" s="125">
        <v>600</v>
      </c>
      <c r="J159" s="126">
        <f t="shared" si="30"/>
        <v>0</v>
      </c>
      <c r="K159" s="127">
        <v>460</v>
      </c>
      <c r="L159" s="127">
        <v>198.34</v>
      </c>
      <c r="M159" s="138" t="s">
        <v>543</v>
      </c>
      <c r="N159" s="117">
        <f t="shared" si="31"/>
        <v>390000</v>
      </c>
      <c r="O159" s="117">
        <f t="shared" si="32"/>
        <v>138000</v>
      </c>
      <c r="P159" s="117">
        <v>65000</v>
      </c>
      <c r="Q159" s="117">
        <f t="shared" si="33"/>
        <v>528000</v>
      </c>
    </row>
    <row r="160" spans="1:17" ht="20.05" customHeight="1" x14ac:dyDescent="0.7">
      <c r="A160" s="119">
        <v>151</v>
      </c>
      <c r="B160" s="145">
        <v>133</v>
      </c>
      <c r="C160" s="60">
        <v>14</v>
      </c>
      <c r="D160" s="124" t="s">
        <v>544</v>
      </c>
      <c r="E160" s="124" t="s">
        <v>545</v>
      </c>
      <c r="F160" s="124" t="s">
        <v>67</v>
      </c>
      <c r="G160" s="60">
        <v>4</v>
      </c>
      <c r="H160" s="125">
        <v>1037</v>
      </c>
      <c r="I160" s="125">
        <v>1037</v>
      </c>
      <c r="J160" s="126">
        <f t="shared" si="30"/>
        <v>0</v>
      </c>
      <c r="K160" s="127">
        <v>494</v>
      </c>
      <c r="L160" s="127">
        <v>180.1</v>
      </c>
      <c r="M160" s="138" t="s">
        <v>546</v>
      </c>
      <c r="N160" s="117">
        <f t="shared" si="31"/>
        <v>622200</v>
      </c>
      <c r="O160" s="117">
        <f t="shared" si="32"/>
        <v>148200</v>
      </c>
      <c r="P160" s="117">
        <v>60000</v>
      </c>
      <c r="Q160" s="117">
        <f t="shared" si="33"/>
        <v>770400</v>
      </c>
    </row>
    <row r="161" spans="1:17" ht="20.05" customHeight="1" x14ac:dyDescent="0.6">
      <c r="A161" s="130"/>
      <c r="B161" s="130"/>
      <c r="C161" s="130"/>
      <c r="D161" s="133"/>
      <c r="E161" s="133"/>
      <c r="F161" s="133"/>
      <c r="G161" s="130"/>
      <c r="H161" s="140">
        <f>SUM(H150:H160)</f>
        <v>10222</v>
      </c>
      <c r="I161" s="140">
        <f t="shared" ref="I161:Q161" si="34">SUM(I150:I160)</f>
        <v>8803</v>
      </c>
      <c r="J161" s="140">
        <f t="shared" si="34"/>
        <v>-1419</v>
      </c>
      <c r="K161" s="140">
        <f t="shared" si="34"/>
        <v>4014</v>
      </c>
      <c r="L161" s="140">
        <f t="shared" si="34"/>
        <v>1765.5899999999997</v>
      </c>
      <c r="M161" s="140">
        <f t="shared" si="34"/>
        <v>0</v>
      </c>
      <c r="N161" s="140">
        <f t="shared" si="34"/>
        <v>4978600</v>
      </c>
      <c r="O161" s="140">
        <f t="shared" si="34"/>
        <v>1204200</v>
      </c>
      <c r="P161" s="140">
        <f t="shared" si="34"/>
        <v>620000</v>
      </c>
      <c r="Q161" s="140">
        <f t="shared" si="34"/>
        <v>6182800</v>
      </c>
    </row>
    <row r="162" spans="1:17" s="141" customFormat="1" ht="18.3" x14ac:dyDescent="0.7">
      <c r="A162" s="119"/>
      <c r="B162" s="60"/>
      <c r="C162" s="60"/>
      <c r="D162" s="167" t="s">
        <v>547</v>
      </c>
      <c r="E162" s="60"/>
      <c r="F162" s="124" t="s">
        <v>67</v>
      </c>
      <c r="G162" s="60" t="s">
        <v>548</v>
      </c>
      <c r="H162" s="129">
        <v>428</v>
      </c>
      <c r="I162" s="126">
        <f>H162</f>
        <v>428</v>
      </c>
      <c r="J162" s="126">
        <f>I162-H162</f>
        <v>0</v>
      </c>
      <c r="K162" s="127"/>
      <c r="L162" s="127"/>
      <c r="M162" s="124"/>
      <c r="N162" s="117"/>
      <c r="O162" s="117"/>
      <c r="P162" s="117"/>
      <c r="Q162" s="117"/>
    </row>
    <row r="163" spans="1:17" ht="18.3" x14ac:dyDescent="0.7">
      <c r="A163" s="119"/>
      <c r="B163" s="60"/>
      <c r="C163" s="60"/>
      <c r="D163" s="167" t="s">
        <v>549</v>
      </c>
      <c r="E163" s="60"/>
      <c r="F163" s="124" t="s">
        <v>67</v>
      </c>
      <c r="G163" s="60">
        <v>271</v>
      </c>
      <c r="H163" s="129">
        <v>2214</v>
      </c>
      <c r="I163" s="126">
        <f>H163</f>
        <v>2214</v>
      </c>
      <c r="J163" s="126">
        <f>I163-H163</f>
        <v>0</v>
      </c>
      <c r="K163" s="127"/>
      <c r="L163" s="127"/>
      <c r="M163" s="124"/>
      <c r="N163" s="117"/>
      <c r="O163" s="117"/>
      <c r="P163" s="117"/>
      <c r="Q163" s="117"/>
    </row>
    <row r="164" spans="1:17" ht="18.3" x14ac:dyDescent="0.7">
      <c r="A164" s="146"/>
      <c r="B164" s="147"/>
      <c r="C164" s="147"/>
      <c r="D164" s="168"/>
      <c r="E164" s="147"/>
      <c r="F164" s="148"/>
      <c r="G164" s="147"/>
      <c r="H164" s="149"/>
      <c r="I164" s="150"/>
      <c r="J164" s="150"/>
      <c r="K164" s="151"/>
      <c r="L164" s="151"/>
      <c r="M164" s="148"/>
      <c r="N164" s="152"/>
      <c r="O164" s="152"/>
      <c r="P164" s="152"/>
      <c r="Q164" s="152"/>
    </row>
    <row r="165" spans="1:17" s="155" customFormat="1" ht="48.6" customHeight="1" x14ac:dyDescent="0.55000000000000004">
      <c r="A165" s="153" t="s">
        <v>653</v>
      </c>
      <c r="B165" s="153"/>
      <c r="C165" s="153"/>
      <c r="D165" s="153"/>
      <c r="E165" s="153"/>
      <c r="F165" s="153"/>
      <c r="G165" s="153"/>
      <c r="H165" s="154">
        <f t="shared" ref="H165:P165" si="35">H161+H149+H141+H100+H62+H29+H23+H20+H6</f>
        <v>117891</v>
      </c>
      <c r="I165" s="154">
        <f t="shared" si="35"/>
        <v>115674</v>
      </c>
      <c r="J165" s="154">
        <f t="shared" si="35"/>
        <v>-26</v>
      </c>
      <c r="K165" s="154">
        <f t="shared" si="35"/>
        <v>48687.01</v>
      </c>
      <c r="L165" s="154">
        <f t="shared" si="35"/>
        <v>19113.699999999997</v>
      </c>
      <c r="M165" s="154">
        <f t="shared" si="35"/>
        <v>0</v>
      </c>
      <c r="N165" s="154">
        <f t="shared" si="35"/>
        <v>61753350</v>
      </c>
      <c r="O165" s="154">
        <f t="shared" si="35"/>
        <v>14606103</v>
      </c>
      <c r="P165" s="154">
        <f t="shared" si="35"/>
        <v>7925000</v>
      </c>
      <c r="Q165" s="154">
        <f>Q161+Q149+Q141+Q100+Q62+Q29+Q23+Q20+Q6</f>
        <v>76359453</v>
      </c>
    </row>
    <row r="166" spans="1:17" x14ac:dyDescent="0.6">
      <c r="A166" s="156"/>
      <c r="H166" s="113"/>
      <c r="I166" s="113"/>
      <c r="J166" s="113"/>
      <c r="K166" s="113"/>
      <c r="L166" s="113"/>
      <c r="M166" s="158"/>
    </row>
    <row r="167" spans="1:17" x14ac:dyDescent="0.6">
      <c r="A167" s="156"/>
      <c r="H167" s="113"/>
      <c r="I167" s="113"/>
      <c r="J167" s="113"/>
      <c r="K167" s="113"/>
      <c r="L167" s="113"/>
      <c r="M167" s="158"/>
    </row>
    <row r="168" spans="1:17" x14ac:dyDescent="0.6">
      <c r="A168" s="156"/>
      <c r="H168" s="113"/>
      <c r="I168" s="113"/>
      <c r="J168" s="113"/>
      <c r="K168" s="113"/>
      <c r="L168" s="113"/>
      <c r="M168" s="158"/>
    </row>
    <row r="169" spans="1:17" x14ac:dyDescent="0.6">
      <c r="A169" s="156"/>
      <c r="H169" s="113"/>
      <c r="I169" s="113"/>
      <c r="J169" s="113"/>
      <c r="K169" s="113"/>
      <c r="L169" s="113"/>
      <c r="M169" s="158"/>
    </row>
    <row r="170" spans="1:17" x14ac:dyDescent="0.6">
      <c r="A170" s="156"/>
      <c r="H170" s="113"/>
      <c r="I170" s="113"/>
      <c r="J170" s="113"/>
      <c r="K170" s="113"/>
      <c r="L170" s="113"/>
      <c r="M170" s="158"/>
    </row>
    <row r="171" spans="1:17" x14ac:dyDescent="0.6">
      <c r="A171" s="156"/>
      <c r="H171" s="113"/>
      <c r="I171" s="113"/>
      <c r="J171" s="113"/>
      <c r="K171" s="113"/>
      <c r="L171" s="113"/>
      <c r="M171" s="158"/>
    </row>
    <row r="172" spans="1:17" x14ac:dyDescent="0.6">
      <c r="A172" s="156"/>
      <c r="H172" s="113"/>
      <c r="I172" s="113"/>
      <c r="J172" s="113"/>
      <c r="K172" s="113"/>
      <c r="L172" s="113"/>
      <c r="M172" s="158"/>
    </row>
    <row r="173" spans="1:17" x14ac:dyDescent="0.6">
      <c r="A173" s="156"/>
      <c r="H173" s="113"/>
      <c r="I173" s="113"/>
      <c r="J173" s="113"/>
      <c r="K173" s="113"/>
      <c r="L173" s="113"/>
      <c r="M173" s="158"/>
    </row>
    <row r="174" spans="1:17" x14ac:dyDescent="0.6">
      <c r="A174" s="156"/>
      <c r="H174" s="113"/>
      <c r="I174" s="113"/>
      <c r="J174" s="113"/>
      <c r="K174" s="113"/>
      <c r="L174" s="113"/>
      <c r="M174" s="158"/>
    </row>
    <row r="175" spans="1:17" x14ac:dyDescent="0.6">
      <c r="A175" s="156"/>
      <c r="H175" s="113"/>
      <c r="I175" s="113"/>
      <c r="J175" s="113"/>
      <c r="K175" s="113"/>
      <c r="L175" s="113"/>
      <c r="M175" s="158"/>
    </row>
    <row r="176" spans="1:17" x14ac:dyDescent="0.6">
      <c r="A176" s="156"/>
      <c r="H176" s="113"/>
      <c r="I176" s="113"/>
      <c r="J176" s="113"/>
      <c r="K176" s="113"/>
      <c r="L176" s="113"/>
      <c r="M176" s="158"/>
    </row>
    <row r="177" spans="1:13" x14ac:dyDescent="0.6">
      <c r="A177" s="156"/>
      <c r="H177" s="113"/>
      <c r="I177" s="113"/>
      <c r="J177" s="113"/>
      <c r="K177" s="113"/>
      <c r="L177" s="113"/>
      <c r="M177" s="158"/>
    </row>
    <row r="178" spans="1:13" x14ac:dyDescent="0.6">
      <c r="A178" s="156"/>
      <c r="H178" s="113"/>
      <c r="I178" s="113"/>
      <c r="J178" s="113"/>
      <c r="K178" s="113"/>
      <c r="L178" s="113"/>
      <c r="M178" s="158"/>
    </row>
    <row r="179" spans="1:13" x14ac:dyDescent="0.6">
      <c r="A179" s="156"/>
      <c r="H179" s="113"/>
      <c r="I179" s="113"/>
      <c r="J179" s="113"/>
      <c r="K179" s="113"/>
      <c r="L179" s="113"/>
      <c r="M179" s="158"/>
    </row>
    <row r="180" spans="1:13" x14ac:dyDescent="0.6">
      <c r="A180" s="156"/>
      <c r="H180" s="113"/>
      <c r="I180" s="113"/>
      <c r="J180" s="113"/>
      <c r="K180" s="113"/>
      <c r="L180" s="113"/>
      <c r="M180" s="158"/>
    </row>
    <row r="181" spans="1:13" x14ac:dyDescent="0.6">
      <c r="A181" s="156"/>
      <c r="H181" s="113"/>
      <c r="I181" s="113"/>
      <c r="J181" s="113"/>
      <c r="K181" s="113"/>
      <c r="L181" s="113"/>
      <c r="M181" s="158"/>
    </row>
    <row r="182" spans="1:13" x14ac:dyDescent="0.6">
      <c r="A182" s="156"/>
      <c r="H182" s="113"/>
      <c r="I182" s="113"/>
      <c r="J182" s="113"/>
      <c r="K182" s="113"/>
      <c r="L182" s="113"/>
      <c r="M182" s="158"/>
    </row>
    <row r="183" spans="1:13" x14ac:dyDescent="0.6">
      <c r="A183" s="156"/>
      <c r="B183" s="159"/>
      <c r="C183" s="159"/>
      <c r="D183" s="156"/>
      <c r="E183" s="156"/>
      <c r="F183" s="156"/>
      <c r="G183" s="156"/>
      <c r="H183" s="160"/>
      <c r="I183" s="160"/>
      <c r="J183" s="160"/>
      <c r="K183" s="160"/>
      <c r="L183" s="160"/>
      <c r="M183" s="158"/>
    </row>
    <row r="184" spans="1:13" x14ac:dyDescent="0.6">
      <c r="A184" s="156"/>
      <c r="B184" s="159"/>
      <c r="C184" s="159"/>
      <c r="D184" s="156"/>
      <c r="E184" s="156"/>
      <c r="F184" s="156"/>
      <c r="G184" s="156"/>
      <c r="H184" s="160"/>
      <c r="I184" s="160"/>
      <c r="J184" s="160"/>
      <c r="K184" s="160"/>
      <c r="L184" s="160"/>
      <c r="M184" s="158"/>
    </row>
    <row r="185" spans="1:13" x14ac:dyDescent="0.6">
      <c r="A185" s="156"/>
      <c r="B185" s="159"/>
      <c r="C185" s="159"/>
      <c r="D185" s="156"/>
      <c r="E185" s="156"/>
      <c r="F185" s="156"/>
      <c r="G185" s="156"/>
      <c r="H185" s="160"/>
      <c r="I185" s="160"/>
      <c r="J185" s="160"/>
      <c r="K185" s="160"/>
      <c r="L185" s="160"/>
      <c r="M185" s="158"/>
    </row>
    <row r="186" spans="1:13" x14ac:dyDescent="0.6">
      <c r="A186" s="156"/>
      <c r="B186" s="159"/>
      <c r="C186" s="159"/>
      <c r="D186" s="156"/>
      <c r="E186" s="156"/>
      <c r="F186" s="156"/>
      <c r="G186" s="156"/>
      <c r="H186" s="160"/>
      <c r="I186" s="160"/>
      <c r="J186" s="160"/>
      <c r="K186" s="160"/>
      <c r="L186" s="160"/>
      <c r="M186" s="158"/>
    </row>
    <row r="187" spans="1:13" x14ac:dyDescent="0.6">
      <c r="A187" s="156"/>
      <c r="B187" s="159"/>
      <c r="C187" s="159"/>
      <c r="D187" s="156"/>
      <c r="E187" s="156"/>
      <c r="F187" s="156"/>
      <c r="G187" s="156"/>
      <c r="H187" s="160"/>
      <c r="I187" s="160"/>
      <c r="J187" s="160"/>
      <c r="K187" s="160"/>
      <c r="L187" s="160"/>
      <c r="M187" s="158"/>
    </row>
    <row r="188" spans="1:13" x14ac:dyDescent="0.6">
      <c r="A188" s="156"/>
      <c r="B188" s="159"/>
      <c r="C188" s="159"/>
      <c r="D188" s="156"/>
      <c r="E188" s="156"/>
      <c r="F188" s="156"/>
      <c r="G188" s="156"/>
      <c r="H188" s="160"/>
      <c r="I188" s="160"/>
      <c r="J188" s="160"/>
      <c r="K188" s="160"/>
      <c r="L188" s="160"/>
      <c r="M188" s="158"/>
    </row>
    <row r="189" spans="1:13" x14ac:dyDescent="0.6">
      <c r="A189" s="156"/>
      <c r="B189" s="159"/>
      <c r="C189" s="159"/>
      <c r="D189" s="156"/>
      <c r="E189" s="156"/>
      <c r="F189" s="156"/>
      <c r="G189" s="156"/>
      <c r="H189" s="160"/>
      <c r="I189" s="160"/>
      <c r="J189" s="160"/>
      <c r="K189" s="160"/>
      <c r="L189" s="160"/>
      <c r="M189" s="158"/>
    </row>
    <row r="190" spans="1:13" x14ac:dyDescent="0.6">
      <c r="A190" s="156"/>
      <c r="B190" s="159"/>
      <c r="C190" s="159"/>
      <c r="D190" s="156"/>
      <c r="E190" s="156"/>
      <c r="F190" s="156"/>
      <c r="G190" s="156"/>
      <c r="H190" s="160"/>
      <c r="I190" s="160"/>
      <c r="J190" s="160"/>
      <c r="K190" s="160"/>
      <c r="L190" s="160"/>
      <c r="M190" s="158"/>
    </row>
    <row r="191" spans="1:13" x14ac:dyDescent="0.6">
      <c r="A191" s="156"/>
      <c r="B191" s="159"/>
      <c r="C191" s="159"/>
      <c r="D191" s="156"/>
      <c r="E191" s="156"/>
      <c r="F191" s="156"/>
      <c r="G191" s="156"/>
      <c r="H191" s="160"/>
      <c r="I191" s="160"/>
      <c r="J191" s="160"/>
      <c r="K191" s="160"/>
      <c r="L191" s="160"/>
      <c r="M191" s="158"/>
    </row>
    <row r="192" spans="1:13" x14ac:dyDescent="0.6">
      <c r="A192" s="156"/>
      <c r="B192" s="159"/>
      <c r="C192" s="159"/>
      <c r="D192" s="156"/>
      <c r="E192" s="156"/>
      <c r="F192" s="156"/>
      <c r="G192" s="156"/>
      <c r="H192" s="160"/>
      <c r="I192" s="160"/>
      <c r="J192" s="160"/>
      <c r="K192" s="160"/>
      <c r="L192" s="160"/>
      <c r="M192" s="158"/>
    </row>
    <row r="193" spans="1:13" x14ac:dyDescent="0.6">
      <c r="A193" s="156"/>
      <c r="B193" s="159"/>
      <c r="C193" s="159"/>
      <c r="D193" s="156"/>
      <c r="E193" s="156"/>
      <c r="F193" s="156"/>
      <c r="G193" s="156"/>
      <c r="H193" s="160"/>
      <c r="I193" s="160"/>
      <c r="J193" s="160"/>
      <c r="K193" s="160"/>
      <c r="L193" s="160"/>
      <c r="M193" s="158"/>
    </row>
    <row r="194" spans="1:13" x14ac:dyDescent="0.6">
      <c r="A194" s="156"/>
      <c r="B194" s="159"/>
      <c r="C194" s="159"/>
      <c r="D194" s="156"/>
      <c r="E194" s="156"/>
      <c r="F194" s="156"/>
      <c r="G194" s="156"/>
      <c r="H194" s="160"/>
      <c r="I194" s="160"/>
      <c r="J194" s="160"/>
      <c r="K194" s="160"/>
      <c r="L194" s="160"/>
      <c r="M194" s="158"/>
    </row>
    <row r="195" spans="1:13" x14ac:dyDescent="0.6">
      <c r="A195" s="156"/>
      <c r="B195" s="159"/>
      <c r="C195" s="159"/>
      <c r="D195" s="156"/>
      <c r="E195" s="156"/>
      <c r="F195" s="156"/>
      <c r="G195" s="156"/>
      <c r="H195" s="160"/>
      <c r="I195" s="160"/>
      <c r="J195" s="160"/>
      <c r="K195" s="160"/>
      <c r="L195" s="160"/>
      <c r="M195" s="158"/>
    </row>
    <row r="196" spans="1:13" x14ac:dyDescent="0.6">
      <c r="A196" s="156"/>
      <c r="B196" s="159"/>
      <c r="C196" s="159"/>
      <c r="D196" s="156"/>
      <c r="E196" s="156"/>
      <c r="F196" s="156"/>
      <c r="G196" s="156"/>
      <c r="H196" s="160"/>
      <c r="I196" s="160"/>
      <c r="J196" s="160"/>
      <c r="K196" s="160"/>
      <c r="L196" s="160"/>
      <c r="M196" s="158"/>
    </row>
    <row r="197" spans="1:13" x14ac:dyDescent="0.6">
      <c r="A197" s="156"/>
      <c r="B197" s="159"/>
      <c r="C197" s="159"/>
      <c r="D197" s="156"/>
      <c r="E197" s="156"/>
      <c r="F197" s="156"/>
      <c r="G197" s="156"/>
      <c r="H197" s="160"/>
      <c r="I197" s="160"/>
      <c r="J197" s="160"/>
      <c r="K197" s="160"/>
      <c r="L197" s="160"/>
      <c r="M197" s="158"/>
    </row>
  </sheetData>
  <autoFilter ref="A1:Q1" xr:uid="{64A1EDD0-500D-4F0C-9A40-1D6B26D02E57}"/>
  <mergeCells count="1">
    <mergeCell ref="A165:G165"/>
  </mergeCells>
  <pageMargins left="0.7" right="0.7" top="0.75" bottom="0.75" header="0.3" footer="0.3"/>
  <pageSetup paperSize="9" scale="71" fitToHeight="4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4C0B-0826-4616-A041-CDDD0D766AC6}">
  <sheetPr>
    <tabColor theme="7"/>
    <pageSetUpPr fitToPage="1"/>
  </sheetPr>
  <dimension ref="A1:L43"/>
  <sheetViews>
    <sheetView zoomScale="70" zoomScaleNormal="70" workbookViewId="0">
      <selection activeCell="C30" sqref="C30"/>
    </sheetView>
  </sheetViews>
  <sheetFormatPr defaultColWidth="11.41796875" defaultRowHeight="18.3" x14ac:dyDescent="0.7"/>
  <cols>
    <col min="1" max="1" width="3.5234375" style="108" bestFit="1" customWidth="1"/>
    <col min="2" max="2" width="12.62890625" style="106" customWidth="1"/>
    <col min="3" max="3" width="55.26171875" style="106" bestFit="1" customWidth="1"/>
    <col min="4" max="4" width="13.83984375" style="106" customWidth="1"/>
    <col min="5" max="5" width="13.83984375" style="106" bestFit="1" customWidth="1"/>
    <col min="6" max="6" width="34.578125" style="106" hidden="1" customWidth="1"/>
    <col min="7" max="7" width="127.5234375" style="106" hidden="1" customWidth="1"/>
    <col min="8" max="8" width="18.26171875" style="106" bestFit="1" customWidth="1"/>
    <col min="9" max="9" width="9.3125" style="106" customWidth="1"/>
    <col min="10" max="10" width="15.1015625" style="106" customWidth="1"/>
    <col min="11" max="11" width="12.26171875" style="106" hidden="1" customWidth="1"/>
    <col min="12" max="12" width="23" style="107" bestFit="1" customWidth="1"/>
    <col min="13" max="16384" width="11.41796875" style="56"/>
  </cols>
  <sheetData>
    <row r="1" spans="1:12" ht="54.9" x14ac:dyDescent="0.7">
      <c r="A1" s="108" t="s">
        <v>649</v>
      </c>
      <c r="B1" s="54" t="s">
        <v>550</v>
      </c>
      <c r="C1" s="54" t="s">
        <v>551</v>
      </c>
      <c r="D1" s="54" t="s">
        <v>552</v>
      </c>
      <c r="E1" s="54" t="s">
        <v>56</v>
      </c>
      <c r="F1" s="54" t="s">
        <v>54</v>
      </c>
      <c r="G1" s="54" t="s">
        <v>553</v>
      </c>
      <c r="H1" s="54" t="s">
        <v>57</v>
      </c>
      <c r="I1" s="54" t="s">
        <v>554</v>
      </c>
      <c r="J1" s="54" t="s">
        <v>555</v>
      </c>
      <c r="K1" s="54" t="s">
        <v>556</v>
      </c>
      <c r="L1" s="55" t="s">
        <v>557</v>
      </c>
    </row>
    <row r="2" spans="1:12" ht="36.6" x14ac:dyDescent="0.7">
      <c r="A2" s="108">
        <v>1</v>
      </c>
      <c r="B2" s="57">
        <v>3</v>
      </c>
      <c r="C2" s="58" t="s">
        <v>558</v>
      </c>
      <c r="D2" s="59" t="s">
        <v>559</v>
      </c>
      <c r="E2" s="60">
        <v>178</v>
      </c>
      <c r="F2" s="61" t="s">
        <v>560</v>
      </c>
      <c r="G2" s="62" t="s">
        <v>561</v>
      </c>
      <c r="H2" s="63">
        <v>639</v>
      </c>
      <c r="I2" s="64">
        <f>H2/100</f>
        <v>6.39</v>
      </c>
      <c r="J2" s="64">
        <v>678</v>
      </c>
      <c r="K2" s="58"/>
      <c r="L2" s="65">
        <f>I2*100000</f>
        <v>639000</v>
      </c>
    </row>
    <row r="3" spans="1:12" x14ac:dyDescent="0.7">
      <c r="A3" s="108">
        <v>2</v>
      </c>
      <c r="B3" s="66">
        <v>3</v>
      </c>
      <c r="C3" s="67" t="s">
        <v>562</v>
      </c>
      <c r="D3" s="59" t="s">
        <v>559</v>
      </c>
      <c r="E3" s="60">
        <v>178</v>
      </c>
      <c r="F3" s="58" t="s">
        <v>563</v>
      </c>
      <c r="G3" s="68" t="s">
        <v>564</v>
      </c>
      <c r="H3" s="69"/>
      <c r="I3" s="64">
        <f>H3/100</f>
        <v>0</v>
      </c>
      <c r="J3" s="64">
        <v>67</v>
      </c>
      <c r="K3" s="58"/>
      <c r="L3" s="65">
        <f>J3*1000</f>
        <v>67000</v>
      </c>
    </row>
    <row r="4" spans="1:12" s="77" customFormat="1" x14ac:dyDescent="0.7">
      <c r="A4" s="108"/>
      <c r="B4" s="70"/>
      <c r="C4" s="71"/>
      <c r="D4" s="72"/>
      <c r="E4" s="73"/>
      <c r="F4" s="70"/>
      <c r="G4" s="74"/>
      <c r="H4" s="75">
        <f>SUM(H2:H3)</f>
        <v>639</v>
      </c>
      <c r="I4" s="75">
        <f t="shared" ref="I4:L4" si="0">SUM(I2:I3)</f>
        <v>6.39</v>
      </c>
      <c r="J4" s="75">
        <f t="shared" si="0"/>
        <v>745</v>
      </c>
      <c r="K4" s="75">
        <f t="shared" si="0"/>
        <v>0</v>
      </c>
      <c r="L4" s="76">
        <f t="shared" si="0"/>
        <v>706000</v>
      </c>
    </row>
    <row r="5" spans="1:12" x14ac:dyDescent="0.7">
      <c r="A5" s="108">
        <v>3</v>
      </c>
      <c r="B5" s="66">
        <v>4</v>
      </c>
      <c r="C5" s="58" t="s">
        <v>565</v>
      </c>
      <c r="D5" s="59" t="s">
        <v>559</v>
      </c>
      <c r="E5" s="60">
        <v>178</v>
      </c>
      <c r="F5" s="58" t="s">
        <v>566</v>
      </c>
      <c r="G5" s="68" t="s">
        <v>567</v>
      </c>
      <c r="H5" s="69">
        <v>1045</v>
      </c>
      <c r="I5" s="64">
        <f>H5/100</f>
        <v>10.45</v>
      </c>
      <c r="J5" s="64">
        <v>892</v>
      </c>
      <c r="K5" s="58"/>
      <c r="L5" s="65">
        <f>I5*100000</f>
        <v>1044999.9999999999</v>
      </c>
    </row>
    <row r="6" spans="1:12" s="77" customFormat="1" x14ac:dyDescent="0.7">
      <c r="A6" s="108"/>
      <c r="B6" s="70"/>
      <c r="C6" s="70"/>
      <c r="D6" s="72"/>
      <c r="E6" s="73"/>
      <c r="F6" s="70"/>
      <c r="G6" s="74"/>
      <c r="H6" s="75">
        <f>SUM(H5)</f>
        <v>1045</v>
      </c>
      <c r="I6" s="75">
        <f t="shared" ref="I6:L6" si="1">SUM(I5)</f>
        <v>10.45</v>
      </c>
      <c r="J6" s="75">
        <f t="shared" si="1"/>
        <v>892</v>
      </c>
      <c r="K6" s="75">
        <f t="shared" si="1"/>
        <v>0</v>
      </c>
      <c r="L6" s="76">
        <f t="shared" si="1"/>
        <v>1044999.9999999999</v>
      </c>
    </row>
    <row r="7" spans="1:12" x14ac:dyDescent="0.7">
      <c r="A7" s="108">
        <v>4</v>
      </c>
      <c r="B7" s="66">
        <v>5</v>
      </c>
      <c r="C7" s="59" t="s">
        <v>568</v>
      </c>
      <c r="D7" s="60" t="s">
        <v>569</v>
      </c>
      <c r="E7" s="60">
        <v>34</v>
      </c>
      <c r="F7" s="59" t="s">
        <v>570</v>
      </c>
      <c r="G7" s="68" t="s">
        <v>571</v>
      </c>
      <c r="H7" s="69">
        <v>1000</v>
      </c>
      <c r="I7" s="78">
        <f>H7/100</f>
        <v>10</v>
      </c>
      <c r="J7" s="78"/>
      <c r="K7" s="69">
        <v>7</v>
      </c>
      <c r="L7" s="65">
        <f>I7*100000</f>
        <v>1000000</v>
      </c>
    </row>
    <row r="8" spans="1:12" ht="20.25" customHeight="1" x14ac:dyDescent="0.7">
      <c r="A8" s="108">
        <v>5</v>
      </c>
      <c r="B8" s="66">
        <v>5</v>
      </c>
      <c r="C8" s="59" t="s">
        <v>572</v>
      </c>
      <c r="D8" s="60" t="s">
        <v>559</v>
      </c>
      <c r="E8" s="60"/>
      <c r="F8" s="59" t="s">
        <v>573</v>
      </c>
      <c r="G8" s="68" t="s">
        <v>574</v>
      </c>
      <c r="H8" s="69">
        <v>333</v>
      </c>
      <c r="I8" s="78">
        <f>H8/100</f>
        <v>3.33</v>
      </c>
      <c r="J8" s="78"/>
      <c r="K8" s="69"/>
      <c r="L8" s="65">
        <f>I8*100000</f>
        <v>333000</v>
      </c>
    </row>
    <row r="9" spans="1:12" x14ac:dyDescent="0.7">
      <c r="A9" s="108">
        <v>6</v>
      </c>
      <c r="B9" s="66">
        <v>5</v>
      </c>
      <c r="C9" s="59" t="s">
        <v>575</v>
      </c>
      <c r="D9" s="60" t="s">
        <v>569</v>
      </c>
      <c r="E9" s="60">
        <v>34</v>
      </c>
      <c r="F9" s="59" t="s">
        <v>576</v>
      </c>
      <c r="G9" s="68" t="s">
        <v>577</v>
      </c>
      <c r="H9" s="69">
        <v>4285</v>
      </c>
      <c r="I9" s="78">
        <f>H9/100</f>
        <v>42.85</v>
      </c>
      <c r="J9" s="78"/>
      <c r="K9" s="69"/>
      <c r="L9" s="65">
        <f>I9*100000</f>
        <v>4285000</v>
      </c>
    </row>
    <row r="10" spans="1:12" ht="36.6" x14ac:dyDescent="0.7">
      <c r="A10" s="108">
        <v>7</v>
      </c>
      <c r="B10" s="79">
        <v>5</v>
      </c>
      <c r="C10" s="80" t="s">
        <v>578</v>
      </c>
      <c r="D10" s="81" t="s">
        <v>569</v>
      </c>
      <c r="E10" s="81">
        <v>34</v>
      </c>
      <c r="F10" s="80" t="s">
        <v>579</v>
      </c>
      <c r="G10" s="82" t="s">
        <v>580</v>
      </c>
      <c r="H10" s="83">
        <v>42507</v>
      </c>
      <c r="I10" s="84">
        <f>H10/100</f>
        <v>425.07</v>
      </c>
      <c r="J10" s="84"/>
      <c r="K10" s="85"/>
      <c r="L10" s="86">
        <v>8000000</v>
      </c>
    </row>
    <row r="11" spans="1:12" x14ac:dyDescent="0.7">
      <c r="A11" s="108">
        <v>8</v>
      </c>
      <c r="B11" s="79">
        <v>5</v>
      </c>
      <c r="C11" s="80" t="s">
        <v>581</v>
      </c>
      <c r="D11" s="81" t="s">
        <v>569</v>
      </c>
      <c r="E11" s="81">
        <v>30</v>
      </c>
      <c r="F11" s="80" t="s">
        <v>582</v>
      </c>
      <c r="G11" s="82" t="s">
        <v>583</v>
      </c>
      <c r="H11" s="83">
        <v>14394</v>
      </c>
      <c r="I11" s="84">
        <f>H11/100</f>
        <v>143.94</v>
      </c>
      <c r="J11" s="84"/>
      <c r="K11" s="85"/>
      <c r="L11" s="86">
        <v>7000000</v>
      </c>
    </row>
    <row r="12" spans="1:12" s="77" customFormat="1" x14ac:dyDescent="0.7">
      <c r="A12" s="108"/>
      <c r="B12" s="70"/>
      <c r="C12" s="72"/>
      <c r="D12" s="73"/>
      <c r="E12" s="73"/>
      <c r="F12" s="72"/>
      <c r="G12" s="74"/>
      <c r="H12" s="76">
        <f t="shared" ref="H12:K12" si="2">SUM(H7:H11)</f>
        <v>62519</v>
      </c>
      <c r="I12" s="76">
        <f t="shared" si="2"/>
        <v>625.19000000000005</v>
      </c>
      <c r="J12" s="76">
        <f t="shared" si="2"/>
        <v>0</v>
      </c>
      <c r="K12" s="76">
        <f t="shared" si="2"/>
        <v>7</v>
      </c>
      <c r="L12" s="76">
        <f>SUM(L7:L11)</f>
        <v>20618000</v>
      </c>
    </row>
    <row r="13" spans="1:12" ht="36.6" x14ac:dyDescent="0.7">
      <c r="A13" s="108">
        <v>9</v>
      </c>
      <c r="B13" s="66">
        <v>8</v>
      </c>
      <c r="C13" s="58" t="s">
        <v>584</v>
      </c>
      <c r="D13" s="59" t="s">
        <v>585</v>
      </c>
      <c r="E13" s="60" t="s">
        <v>586</v>
      </c>
      <c r="F13" s="58"/>
      <c r="G13" s="68"/>
      <c r="H13" s="69">
        <v>436</v>
      </c>
      <c r="I13" s="64">
        <f>H13/100</f>
        <v>4.3600000000000003</v>
      </c>
      <c r="J13" s="64">
        <v>175</v>
      </c>
      <c r="K13" s="58"/>
      <c r="L13" s="65">
        <f>I13*100000</f>
        <v>436000.00000000006</v>
      </c>
    </row>
    <row r="14" spans="1:12" ht="36.6" x14ac:dyDescent="0.7">
      <c r="A14" s="108">
        <v>10</v>
      </c>
      <c r="B14" s="66">
        <v>8</v>
      </c>
      <c r="C14" s="58" t="s">
        <v>587</v>
      </c>
      <c r="D14" s="59" t="s">
        <v>585</v>
      </c>
      <c r="E14" s="60" t="s">
        <v>588</v>
      </c>
      <c r="F14" s="58"/>
      <c r="G14" s="68"/>
      <c r="H14" s="69">
        <v>662</v>
      </c>
      <c r="I14" s="64">
        <f>H14/100</f>
        <v>6.62</v>
      </c>
      <c r="J14" s="64">
        <v>217</v>
      </c>
      <c r="K14" s="58"/>
      <c r="L14" s="65">
        <f>I14*100000</f>
        <v>662000</v>
      </c>
    </row>
    <row r="15" spans="1:12" s="77" customFormat="1" x14ac:dyDescent="0.7">
      <c r="A15" s="108"/>
      <c r="B15" s="70"/>
      <c r="C15" s="70"/>
      <c r="D15" s="72"/>
      <c r="E15" s="73"/>
      <c r="F15" s="70"/>
      <c r="G15" s="74"/>
      <c r="H15" s="75">
        <f>SUM(H13:H14)</f>
        <v>1098</v>
      </c>
      <c r="I15" s="75">
        <f t="shared" ref="I15:L15" si="3">SUM(I13:I14)</f>
        <v>10.98</v>
      </c>
      <c r="J15" s="75">
        <f t="shared" si="3"/>
        <v>392</v>
      </c>
      <c r="K15" s="75">
        <f t="shared" si="3"/>
        <v>0</v>
      </c>
      <c r="L15" s="76">
        <f t="shared" si="3"/>
        <v>1098000</v>
      </c>
    </row>
    <row r="16" spans="1:12" x14ac:dyDescent="0.7">
      <c r="A16" s="108">
        <v>11</v>
      </c>
      <c r="B16" s="66">
        <v>9</v>
      </c>
      <c r="C16" s="59" t="s">
        <v>589</v>
      </c>
      <c r="D16" s="60" t="s">
        <v>569</v>
      </c>
      <c r="E16" s="60">
        <v>42</v>
      </c>
      <c r="F16" s="59" t="s">
        <v>590</v>
      </c>
      <c r="G16" s="68" t="s">
        <v>591</v>
      </c>
      <c r="H16" s="69">
        <v>2328</v>
      </c>
      <c r="I16" s="78">
        <f>H16/100</f>
        <v>23.28</v>
      </c>
      <c r="J16" s="78"/>
      <c r="K16" s="69"/>
      <c r="L16" s="65">
        <f>I16*100000</f>
        <v>2328000</v>
      </c>
    </row>
    <row r="17" spans="1:12" s="77" customFormat="1" x14ac:dyDescent="0.7">
      <c r="A17" s="108"/>
      <c r="B17" s="70"/>
      <c r="C17" s="72"/>
      <c r="D17" s="73"/>
      <c r="E17" s="73"/>
      <c r="F17" s="72"/>
      <c r="G17" s="74"/>
      <c r="H17" s="75">
        <f>SUM(H16)</f>
        <v>2328</v>
      </c>
      <c r="I17" s="75">
        <f t="shared" ref="I17:L17" si="4">SUM(I16)</f>
        <v>23.28</v>
      </c>
      <c r="J17" s="75">
        <f t="shared" si="4"/>
        <v>0</v>
      </c>
      <c r="K17" s="75">
        <f t="shared" si="4"/>
        <v>0</v>
      </c>
      <c r="L17" s="76">
        <f t="shared" si="4"/>
        <v>2328000</v>
      </c>
    </row>
    <row r="18" spans="1:12" x14ac:dyDescent="0.7">
      <c r="A18" s="108">
        <v>12</v>
      </c>
      <c r="B18" s="66">
        <v>12</v>
      </c>
      <c r="C18" s="59" t="s">
        <v>592</v>
      </c>
      <c r="D18" s="60" t="s">
        <v>593</v>
      </c>
      <c r="E18" s="60" t="s">
        <v>594</v>
      </c>
      <c r="F18" s="59" t="s">
        <v>595</v>
      </c>
      <c r="G18" s="68" t="s">
        <v>596</v>
      </c>
      <c r="H18" s="69">
        <v>211</v>
      </c>
      <c r="I18" s="78">
        <f t="shared" ref="I18:I23" si="5">H18/100</f>
        <v>2.11</v>
      </c>
      <c r="J18" s="78"/>
      <c r="K18" s="69"/>
      <c r="L18" s="65">
        <f t="shared" ref="L18:L23" si="6">I18*100000</f>
        <v>211000</v>
      </c>
    </row>
    <row r="19" spans="1:12" ht="21.55" customHeight="1" x14ac:dyDescent="0.7">
      <c r="A19" s="108">
        <v>13</v>
      </c>
      <c r="B19" s="66">
        <v>12</v>
      </c>
      <c r="C19" s="59" t="s">
        <v>597</v>
      </c>
      <c r="D19" s="60" t="s">
        <v>593</v>
      </c>
      <c r="E19" s="60" t="s">
        <v>594</v>
      </c>
      <c r="F19" s="59" t="s">
        <v>598</v>
      </c>
      <c r="G19" s="68" t="s">
        <v>599</v>
      </c>
      <c r="H19" s="69">
        <v>3663</v>
      </c>
      <c r="I19" s="78">
        <f t="shared" si="5"/>
        <v>36.630000000000003</v>
      </c>
      <c r="J19" s="78"/>
      <c r="K19" s="69"/>
      <c r="L19" s="65">
        <f t="shared" si="6"/>
        <v>3663000.0000000005</v>
      </c>
    </row>
    <row r="20" spans="1:12" x14ac:dyDescent="0.7">
      <c r="A20" s="108">
        <v>14</v>
      </c>
      <c r="B20" s="66">
        <v>12</v>
      </c>
      <c r="C20" s="59" t="s">
        <v>600</v>
      </c>
      <c r="D20" s="60" t="s">
        <v>593</v>
      </c>
      <c r="E20" s="60" t="s">
        <v>601</v>
      </c>
      <c r="F20" s="59" t="s">
        <v>602</v>
      </c>
      <c r="G20" s="68" t="s">
        <v>603</v>
      </c>
      <c r="H20" s="69">
        <v>1751</v>
      </c>
      <c r="I20" s="78">
        <f t="shared" si="5"/>
        <v>17.510000000000002</v>
      </c>
      <c r="J20" s="78"/>
      <c r="K20" s="69"/>
      <c r="L20" s="65">
        <f t="shared" si="6"/>
        <v>1751000.0000000002</v>
      </c>
    </row>
    <row r="21" spans="1:12" ht="36.6" x14ac:dyDescent="0.7">
      <c r="A21" s="108">
        <v>15</v>
      </c>
      <c r="B21" s="66">
        <v>12</v>
      </c>
      <c r="C21" s="59" t="s">
        <v>604</v>
      </c>
      <c r="D21" s="60" t="s">
        <v>593</v>
      </c>
      <c r="E21" s="60" t="s">
        <v>594</v>
      </c>
      <c r="F21" s="59" t="s">
        <v>605</v>
      </c>
      <c r="G21" s="68" t="s">
        <v>606</v>
      </c>
      <c r="H21" s="69">
        <v>516</v>
      </c>
      <c r="I21" s="78">
        <f t="shared" si="5"/>
        <v>5.16</v>
      </c>
      <c r="J21" s="78"/>
      <c r="K21" s="69"/>
      <c r="L21" s="65">
        <f t="shared" si="6"/>
        <v>516000</v>
      </c>
    </row>
    <row r="22" spans="1:12" ht="18" customHeight="1" x14ac:dyDescent="0.7">
      <c r="A22" s="108">
        <v>16</v>
      </c>
      <c r="B22" s="66">
        <v>12</v>
      </c>
      <c r="C22" s="59" t="s">
        <v>607</v>
      </c>
      <c r="D22" s="60" t="s">
        <v>593</v>
      </c>
      <c r="E22" s="60" t="s">
        <v>594</v>
      </c>
      <c r="F22" s="59" t="s">
        <v>608</v>
      </c>
      <c r="G22" s="68" t="s">
        <v>609</v>
      </c>
      <c r="H22" s="69">
        <v>2152</v>
      </c>
      <c r="I22" s="78">
        <f t="shared" si="5"/>
        <v>21.52</v>
      </c>
      <c r="J22" s="78"/>
      <c r="K22" s="69"/>
      <c r="L22" s="65">
        <f t="shared" si="6"/>
        <v>2152000</v>
      </c>
    </row>
    <row r="23" spans="1:12" ht="18" customHeight="1" x14ac:dyDescent="0.7">
      <c r="A23" s="108">
        <v>17</v>
      </c>
      <c r="B23" s="66">
        <v>12</v>
      </c>
      <c r="C23" s="59" t="s">
        <v>610</v>
      </c>
      <c r="D23" s="60" t="s">
        <v>593</v>
      </c>
      <c r="E23" s="60" t="s">
        <v>611</v>
      </c>
      <c r="F23" s="59" t="s">
        <v>612</v>
      </c>
      <c r="G23" s="68" t="s">
        <v>613</v>
      </c>
      <c r="H23" s="69">
        <v>3600</v>
      </c>
      <c r="I23" s="78">
        <f t="shared" si="5"/>
        <v>36</v>
      </c>
      <c r="J23" s="78"/>
      <c r="K23" s="69"/>
      <c r="L23" s="65">
        <f t="shared" si="6"/>
        <v>3600000</v>
      </c>
    </row>
    <row r="24" spans="1:12" s="77" customFormat="1" ht="18" customHeight="1" x14ac:dyDescent="0.7">
      <c r="A24" s="108"/>
      <c r="B24" s="70"/>
      <c r="C24" s="72"/>
      <c r="D24" s="73"/>
      <c r="E24" s="73"/>
      <c r="F24" s="72"/>
      <c r="G24" s="74"/>
      <c r="H24" s="75">
        <f>SUM(H18:H23)</f>
        <v>11893</v>
      </c>
      <c r="I24" s="75">
        <f t="shared" ref="I24:L24" si="7">SUM(I18:I23)</f>
        <v>118.92999999999999</v>
      </c>
      <c r="J24" s="75">
        <f t="shared" si="7"/>
        <v>0</v>
      </c>
      <c r="K24" s="75">
        <f t="shared" si="7"/>
        <v>0</v>
      </c>
      <c r="L24" s="76">
        <f t="shared" si="7"/>
        <v>11893000</v>
      </c>
    </row>
    <row r="25" spans="1:12" x14ac:dyDescent="0.7">
      <c r="A25" s="108">
        <v>18</v>
      </c>
      <c r="B25" s="66">
        <v>14</v>
      </c>
      <c r="C25" s="59" t="s">
        <v>614</v>
      </c>
      <c r="D25" s="60" t="s">
        <v>615</v>
      </c>
      <c r="E25" s="60"/>
      <c r="F25" s="59" t="s">
        <v>616</v>
      </c>
      <c r="G25" s="68" t="s">
        <v>617</v>
      </c>
      <c r="H25" s="69">
        <v>1150</v>
      </c>
      <c r="I25" s="78">
        <f>H25/100</f>
        <v>11.5</v>
      </c>
      <c r="J25" s="78"/>
      <c r="K25" s="69"/>
      <c r="L25" s="65">
        <f>I25*100000</f>
        <v>1150000</v>
      </c>
    </row>
    <row r="26" spans="1:12" s="77" customFormat="1" x14ac:dyDescent="0.7">
      <c r="A26" s="108"/>
      <c r="B26" s="70"/>
      <c r="C26" s="72"/>
      <c r="D26" s="73"/>
      <c r="E26" s="73"/>
      <c r="F26" s="72"/>
      <c r="G26" s="74"/>
      <c r="H26" s="75">
        <f>SUM(H25)</f>
        <v>1150</v>
      </c>
      <c r="I26" s="75">
        <f t="shared" ref="I26:L26" si="8">SUM(I25)</f>
        <v>11.5</v>
      </c>
      <c r="J26" s="75">
        <f t="shared" si="8"/>
        <v>0</v>
      </c>
      <c r="K26" s="75">
        <f t="shared" si="8"/>
        <v>0</v>
      </c>
      <c r="L26" s="76">
        <f t="shared" si="8"/>
        <v>1150000</v>
      </c>
    </row>
    <row r="27" spans="1:12" s="77" customFormat="1" ht="33.549999999999997" customHeight="1" x14ac:dyDescent="0.7">
      <c r="A27" s="108"/>
      <c r="B27" s="87"/>
      <c r="C27" s="88" t="s">
        <v>618</v>
      </c>
      <c r="D27" s="89"/>
      <c r="E27" s="90"/>
      <c r="F27" s="87"/>
      <c r="G27" s="91"/>
      <c r="H27" s="92">
        <f t="shared" ref="H27:K27" si="9">H4+H6+H12+H15+H17+H24+H26</f>
        <v>80672</v>
      </c>
      <c r="I27" s="92">
        <f t="shared" si="9"/>
        <v>806.72</v>
      </c>
      <c r="J27" s="92">
        <f t="shared" si="9"/>
        <v>2029</v>
      </c>
      <c r="K27" s="92">
        <f t="shared" si="9"/>
        <v>7</v>
      </c>
      <c r="L27" s="93">
        <f>L4+L6+L12+L15+L17+L24+L26</f>
        <v>38838000</v>
      </c>
    </row>
    <row r="28" spans="1:12" x14ac:dyDescent="0.7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1:12" ht="42.9" customHeight="1" x14ac:dyDescent="0.7">
      <c r="B29" s="94" t="s">
        <v>619</v>
      </c>
      <c r="C29" s="95"/>
      <c r="D29" s="95"/>
      <c r="E29" s="95"/>
      <c r="F29" s="95"/>
      <c r="G29" s="95"/>
      <c r="H29" s="95"/>
      <c r="I29" s="96"/>
      <c r="J29" s="56"/>
      <c r="K29" s="56"/>
      <c r="L29" s="56"/>
    </row>
    <row r="30" spans="1:12" ht="54.9" x14ac:dyDescent="0.7">
      <c r="B30" s="54"/>
      <c r="C30" s="54" t="s">
        <v>551</v>
      </c>
      <c r="D30" s="54" t="s">
        <v>552</v>
      </c>
      <c r="E30" s="54" t="s">
        <v>56</v>
      </c>
      <c r="F30" s="54" t="s">
        <v>54</v>
      </c>
      <c r="G30" s="54" t="s">
        <v>553</v>
      </c>
      <c r="H30" s="54" t="s">
        <v>57</v>
      </c>
      <c r="I30" s="54" t="s">
        <v>554</v>
      </c>
      <c r="J30" s="56"/>
      <c r="K30" s="56"/>
      <c r="L30" s="56"/>
    </row>
    <row r="31" spans="1:12" ht="54.9" customHeight="1" x14ac:dyDescent="0.7">
      <c r="B31" s="97" t="s">
        <v>620</v>
      </c>
      <c r="C31" s="97"/>
      <c r="D31" s="59" t="s">
        <v>559</v>
      </c>
      <c r="E31" s="60">
        <v>178</v>
      </c>
      <c r="F31" s="58" t="s">
        <v>621</v>
      </c>
      <c r="G31" s="68" t="s">
        <v>622</v>
      </c>
      <c r="H31" s="69">
        <v>1013</v>
      </c>
      <c r="I31" s="64">
        <f>H31/100</f>
        <v>10.130000000000001</v>
      </c>
      <c r="J31" s="56"/>
      <c r="K31" s="56"/>
      <c r="L31" s="56"/>
    </row>
    <row r="32" spans="1:12" ht="18.3" customHeight="1" x14ac:dyDescent="0.7">
      <c r="B32" s="98" t="s">
        <v>623</v>
      </c>
      <c r="C32" s="98"/>
      <c r="D32" s="59" t="s">
        <v>559</v>
      </c>
      <c r="E32" s="60">
        <v>178</v>
      </c>
      <c r="F32" s="58" t="s">
        <v>624</v>
      </c>
      <c r="G32" s="68" t="s">
        <v>625</v>
      </c>
      <c r="H32" s="69">
        <v>19805</v>
      </c>
      <c r="I32" s="64">
        <f>H32/100</f>
        <v>198.05</v>
      </c>
      <c r="J32" s="56"/>
      <c r="K32" s="56"/>
      <c r="L32" s="56"/>
    </row>
    <row r="33" spans="1:12" ht="18.3" customHeight="1" x14ac:dyDescent="0.7">
      <c r="B33" s="98" t="s">
        <v>626</v>
      </c>
      <c r="C33" s="98"/>
      <c r="D33" s="60" t="s">
        <v>593</v>
      </c>
      <c r="E33" s="60">
        <v>5</v>
      </c>
      <c r="F33" s="59" t="s">
        <v>627</v>
      </c>
      <c r="G33" s="68" t="s">
        <v>628</v>
      </c>
      <c r="H33" s="69">
        <v>1011</v>
      </c>
      <c r="I33" s="99">
        <f t="shared" ref="I33:I34" si="10">H33/100</f>
        <v>10.11</v>
      </c>
      <c r="J33" s="56"/>
      <c r="K33" s="56"/>
      <c r="L33" s="56"/>
    </row>
    <row r="34" spans="1:12" ht="36.6" x14ac:dyDescent="0.7">
      <c r="B34" s="100"/>
      <c r="C34" s="101" t="s">
        <v>629</v>
      </c>
      <c r="D34" s="60" t="s">
        <v>569</v>
      </c>
      <c r="E34" s="60">
        <v>42</v>
      </c>
      <c r="F34" s="59" t="s">
        <v>630</v>
      </c>
      <c r="G34" s="68" t="s">
        <v>631</v>
      </c>
      <c r="H34" s="69">
        <v>5308</v>
      </c>
      <c r="I34" s="99">
        <f t="shared" si="10"/>
        <v>53.08</v>
      </c>
      <c r="J34" s="56"/>
      <c r="K34" s="56"/>
      <c r="L34" s="56"/>
    </row>
    <row r="35" spans="1:12" x14ac:dyDescent="0.7">
      <c r="B35" s="100"/>
      <c r="C35" s="101"/>
      <c r="D35" s="60"/>
      <c r="E35" s="60"/>
      <c r="F35" s="59"/>
      <c r="G35" s="68"/>
      <c r="H35" s="69"/>
      <c r="I35" s="99"/>
      <c r="J35" s="56"/>
      <c r="K35" s="56"/>
      <c r="L35" s="56"/>
    </row>
    <row r="36" spans="1:12" ht="18.3" hidden="1" customHeight="1" x14ac:dyDescent="0.7">
      <c r="B36" s="66"/>
      <c r="C36" s="102" t="s">
        <v>632</v>
      </c>
      <c r="D36" s="60" t="s">
        <v>559</v>
      </c>
      <c r="E36" s="60"/>
      <c r="F36" s="58" t="s">
        <v>633</v>
      </c>
      <c r="G36" s="68" t="s">
        <v>634</v>
      </c>
      <c r="H36" s="69">
        <v>1660</v>
      </c>
      <c r="I36" s="64">
        <f>H36/100</f>
        <v>16.600000000000001</v>
      </c>
      <c r="J36" s="56"/>
      <c r="K36" s="56"/>
      <c r="L36" s="56"/>
    </row>
    <row r="37" spans="1:12" ht="18.3" hidden="1" customHeight="1" x14ac:dyDescent="0.7">
      <c r="B37" s="103"/>
      <c r="C37" s="102" t="s">
        <v>635</v>
      </c>
      <c r="D37" s="59" t="s">
        <v>636</v>
      </c>
      <c r="E37" s="60" t="s">
        <v>637</v>
      </c>
      <c r="F37" s="58" t="s">
        <v>638</v>
      </c>
      <c r="G37" s="68" t="s">
        <v>639</v>
      </c>
      <c r="H37" s="69">
        <v>4144</v>
      </c>
      <c r="I37" s="64">
        <f>H37/100</f>
        <v>41.44</v>
      </c>
      <c r="J37" s="56"/>
      <c r="K37" s="56"/>
      <c r="L37" s="56"/>
    </row>
    <row r="38" spans="1:12" ht="18.3" hidden="1" customHeight="1" x14ac:dyDescent="0.7">
      <c r="B38" s="66"/>
      <c r="C38" s="102" t="s">
        <v>640</v>
      </c>
      <c r="D38" s="59" t="s">
        <v>559</v>
      </c>
      <c r="E38" s="60">
        <v>178</v>
      </c>
      <c r="F38" s="58" t="s">
        <v>641</v>
      </c>
      <c r="G38" s="68" t="s">
        <v>642</v>
      </c>
      <c r="H38" s="69">
        <v>15000</v>
      </c>
      <c r="I38" s="64">
        <f t="shared" ref="I38:I39" si="11">H38/100</f>
        <v>150</v>
      </c>
      <c r="J38" s="56"/>
      <c r="K38" s="56"/>
      <c r="L38" s="56"/>
    </row>
    <row r="39" spans="1:12" ht="18.3" hidden="1" customHeight="1" x14ac:dyDescent="0.7">
      <c r="B39" s="66"/>
      <c r="C39" s="102" t="s">
        <v>643</v>
      </c>
      <c r="D39" s="60" t="s">
        <v>559</v>
      </c>
      <c r="E39" s="60"/>
      <c r="F39" s="58" t="s">
        <v>644</v>
      </c>
      <c r="G39" s="68" t="s">
        <v>645</v>
      </c>
      <c r="H39" s="69">
        <v>8000</v>
      </c>
      <c r="I39" s="64">
        <f t="shared" si="11"/>
        <v>80</v>
      </c>
      <c r="J39" s="56"/>
      <c r="K39" s="56"/>
      <c r="L39" s="56"/>
    </row>
    <row r="40" spans="1:12" ht="18.3" hidden="1" customHeight="1" x14ac:dyDescent="0.7">
      <c r="B40" s="66"/>
      <c r="C40" s="102" t="s">
        <v>646</v>
      </c>
      <c r="D40" s="60" t="s">
        <v>569</v>
      </c>
      <c r="E40" s="60">
        <v>251</v>
      </c>
      <c r="F40" s="58" t="s">
        <v>647</v>
      </c>
      <c r="G40" s="68" t="s">
        <v>648</v>
      </c>
      <c r="H40" s="69">
        <v>45200</v>
      </c>
      <c r="I40" s="64">
        <f>H40/100</f>
        <v>452</v>
      </c>
      <c r="J40" s="56"/>
      <c r="K40" s="56"/>
      <c r="L40" s="56"/>
    </row>
    <row r="41" spans="1:12" s="77" customFormat="1" x14ac:dyDescent="0.7">
      <c r="A41" s="108"/>
      <c r="B41" s="66"/>
      <c r="C41" s="66" t="s">
        <v>618</v>
      </c>
      <c r="D41" s="60"/>
      <c r="E41" s="60"/>
      <c r="F41" s="66"/>
      <c r="G41" s="104"/>
      <c r="H41" s="105">
        <f>SUM(H27:H34)</f>
        <v>107809</v>
      </c>
      <c r="I41" s="105">
        <f>SUM(I27:I34)</f>
        <v>1078.0899999999999</v>
      </c>
    </row>
    <row r="42" spans="1:12" x14ac:dyDescent="0.7">
      <c r="J42" s="56"/>
      <c r="K42" s="56"/>
      <c r="L42" s="56"/>
    </row>
    <row r="43" spans="1:12" x14ac:dyDescent="0.7">
      <c r="J43" s="56"/>
      <c r="K43" s="56"/>
      <c r="L43" s="56"/>
    </row>
  </sheetData>
  <mergeCells count="4">
    <mergeCell ref="B29:I29"/>
    <mergeCell ref="B31:C31"/>
    <mergeCell ref="B32:C32"/>
    <mergeCell ref="B33:C33"/>
  </mergeCells>
  <pageMargins left="0.7" right="0.7" top="0.75" bottom="0.75" header="0.3" footer="0.3"/>
  <pageSetup paperSize="9" scale="44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ХК</vt:lpstr>
      <vt:lpstr>Лот кесимида</vt:lpstr>
      <vt:lpstr>Турар</vt:lpstr>
      <vt:lpstr>Нотурар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NEMATULLAYEV</dc:creator>
  <cp:lastModifiedBy>AZIZ NEMATULLAYEV</cp:lastModifiedBy>
  <dcterms:created xsi:type="dcterms:W3CDTF">2026-03-13T05:01:15Z</dcterms:created>
  <dcterms:modified xsi:type="dcterms:W3CDTF">2026-03-13T13:10:35Z</dcterms:modified>
</cp:coreProperties>
</file>